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autoCompressPictures="0"/>
  <bookViews>
    <workbookView xWindow="765" yWindow="15" windowWidth="21840" windowHeight="13740"/>
  </bookViews>
  <sheets>
    <sheet name="Plan Progress as of 05092012" sheetId="1" r:id="rId1"/>
    <sheet name="Sheet2" sheetId="2" r:id="rId2"/>
    <sheet name="Sheet3" sheetId="3" r:id="rId3"/>
  </sheets>
  <definedNames>
    <definedName name="_xlnm.Print_Area" localSheetId="0">'Plan Progress as of 05092012'!$A$2:$AG$27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1"/>
  <c r="I3" l="1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H3"/>
  <c r="B29"/>
  <c r="E24"/>
  <c r="B31"/>
  <c r="B30"/>
  <c r="B33"/>
  <c r="E7"/>
  <c r="E9"/>
  <c r="E10"/>
  <c r="E11"/>
  <c r="E12"/>
  <c r="E13"/>
  <c r="E14"/>
  <c r="E15"/>
  <c r="E16"/>
  <c r="E17"/>
  <c r="E18"/>
  <c r="E19"/>
  <c r="E20"/>
  <c r="E21"/>
  <c r="E22"/>
  <c r="E23"/>
  <c r="E25"/>
  <c r="E26"/>
  <c r="E27"/>
  <c r="E6"/>
  <c r="G7"/>
  <c r="G8"/>
  <c r="G9"/>
  <c r="G10"/>
  <c r="G11"/>
  <c r="G12"/>
  <c r="G14"/>
  <c r="G15"/>
  <c r="G16"/>
  <c r="G17"/>
  <c r="G18"/>
  <c r="G19"/>
  <c r="G20"/>
  <c r="G21"/>
  <c r="G22"/>
  <c r="G23"/>
  <c r="G25"/>
  <c r="G26"/>
  <c r="G27"/>
  <c r="G6"/>
  <c r="G13"/>
  <c r="E28"/>
  <c r="B32"/>
  <c r="F28" l="1"/>
</calcChain>
</file>

<file path=xl/sharedStrings.xml><?xml version="1.0" encoding="utf-8"?>
<sst xmlns="http://schemas.openxmlformats.org/spreadsheetml/2006/main" count="75" uniqueCount="52">
  <si>
    <t>Task</t>
  </si>
  <si>
    <t>Start</t>
  </si>
  <si>
    <t>End</t>
  </si>
  <si>
    <t>Responsible</t>
  </si>
  <si>
    <t>Complete</t>
  </si>
  <si>
    <t>Prerequisites</t>
  </si>
  <si>
    <t>POC Begins</t>
  </si>
  <si>
    <t>Days</t>
  </si>
  <si>
    <t>Nonworking Date</t>
  </si>
  <si>
    <t>Reason</t>
  </si>
  <si>
    <t>MetLife Holiday</t>
  </si>
  <si>
    <t>Memorial Day</t>
  </si>
  <si>
    <t>Legend</t>
  </si>
  <si>
    <t>Active Tasks</t>
  </si>
  <si>
    <t>Completed Tasks (100%)</t>
  </si>
  <si>
    <t>Non-Working Day</t>
  </si>
  <si>
    <t>Current Day</t>
  </si>
  <si>
    <t>Beyond Projected Last Day</t>
  </si>
  <si>
    <t>Project Duration</t>
  </si>
  <si>
    <t>Total Man Days</t>
  </si>
  <si>
    <t>Start Date</t>
  </si>
  <si>
    <t>Projected End Date</t>
  </si>
  <si>
    <t>Make something</t>
  </si>
  <si>
    <t>Do something</t>
  </si>
  <si>
    <t>Be somewhere</t>
  </si>
  <si>
    <t>Manny</t>
  </si>
  <si>
    <t>Moe</t>
  </si>
  <si>
    <t>Jack</t>
  </si>
  <si>
    <t>Start something</t>
  </si>
  <si>
    <t>Eat something</t>
  </si>
  <si>
    <t>Touch something</t>
  </si>
  <si>
    <t>Redo something</t>
  </si>
  <si>
    <t>Build something</t>
  </si>
  <si>
    <t>Look at something</t>
  </si>
  <si>
    <t>Wave at something</t>
  </si>
  <si>
    <t>Sneer at someone</t>
  </si>
  <si>
    <t>Break something inadvertantly</t>
  </si>
  <si>
    <t>Fix broken something</t>
  </si>
  <si>
    <t>Stack something's parts</t>
  </si>
  <si>
    <t>Apply duct tape to something</t>
  </si>
  <si>
    <t>Put something back on shelf</t>
  </si>
  <si>
    <t>Create a new standard for something</t>
  </si>
  <si>
    <t>Compile something</t>
  </si>
  <si>
    <t>Wave a flag at someone</t>
  </si>
  <si>
    <t>Push something too far</t>
  </si>
  <si>
    <t>Wave more flags at everyone</t>
  </si>
  <si>
    <t>Manny, Moe</t>
  </si>
  <si>
    <t>Manny, Jack</t>
  </si>
  <si>
    <t>Today's Date</t>
  </si>
  <si>
    <t>Tasks Running Late</t>
  </si>
  <si>
    <t>Tasks Overdue Start</t>
  </si>
  <si>
    <t>never enter data</t>
  </si>
</sst>
</file>

<file path=xl/styles.xml><?xml version="1.0" encoding="utf-8"?>
<styleSheet xmlns="http://schemas.openxmlformats.org/spreadsheetml/2006/main">
  <numFmts count="4">
    <numFmt numFmtId="164" formatCode="_(* #,##0_);_(* \(#,##0\);_(* &quot;-&quot;_);_(@_)"/>
    <numFmt numFmtId="165" formatCode="_(* #,##0.00_);_(* \(#,##0.00\);_(* &quot;-&quot;??_);_(@_)"/>
    <numFmt numFmtId="166" formatCode="m/d;@"/>
    <numFmt numFmtId="167" formatCode="[$-409]mmmm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darkUp"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rgb="FFFF0000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16" fontId="0" fillId="0" borderId="0" xfId="0" applyNumberFormat="1"/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/>
    </xf>
    <xf numFmtId="166" fontId="3" fillId="0" borderId="0" xfId="0" applyNumberFormat="1" applyFont="1" applyBorder="1" applyAlignment="1">
      <alignment horizontal="center" vertical="top"/>
    </xf>
    <xf numFmtId="9" fontId="2" fillId="0" borderId="0" xfId="2" applyFont="1" applyBorder="1" applyAlignment="1">
      <alignment vertical="top"/>
    </xf>
    <xf numFmtId="9" fontId="4" fillId="2" borderId="3" xfId="2" applyFont="1" applyFill="1" applyBorder="1" applyAlignment="1">
      <alignment horizontal="center" vertical="center"/>
    </xf>
    <xf numFmtId="166" fontId="4" fillId="2" borderId="1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indent="1"/>
    </xf>
    <xf numFmtId="9" fontId="2" fillId="0" borderId="6" xfId="2" applyFont="1" applyBorder="1" applyAlignment="1">
      <alignment vertical="top"/>
    </xf>
    <xf numFmtId="0" fontId="5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indent="2"/>
    </xf>
    <xf numFmtId="0" fontId="2" fillId="0" borderId="7" xfId="0" applyFont="1" applyBorder="1" applyAlignment="1">
      <alignment horizontal="left" vertical="top" indent="1"/>
    </xf>
    <xf numFmtId="167" fontId="4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0" fontId="2" fillId="0" borderId="12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9" fontId="4" fillId="2" borderId="0" xfId="2" applyFont="1" applyFill="1" applyBorder="1" applyAlignment="1">
      <alignment horizontal="center" vertical="center"/>
    </xf>
    <xf numFmtId="0" fontId="2" fillId="0" borderId="0" xfId="2" applyNumberFormat="1" applyFont="1" applyBorder="1" applyAlignment="1">
      <alignment vertical="top"/>
    </xf>
    <xf numFmtId="9" fontId="3" fillId="0" borderId="1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13" xfId="0" applyNumberFormat="1" applyFont="1" applyFill="1" applyBorder="1" applyAlignment="1">
      <alignment horizontal="center"/>
    </xf>
    <xf numFmtId="0" fontId="6" fillId="3" borderId="14" xfId="0" applyNumberFormat="1" applyFont="1" applyFill="1" applyBorder="1" applyAlignment="1">
      <alignment horizontal="center"/>
    </xf>
    <xf numFmtId="0" fontId="6" fillId="3" borderId="15" xfId="0" applyNumberFormat="1" applyFont="1" applyFill="1" applyBorder="1" applyAlignment="1">
      <alignment horizontal="center"/>
    </xf>
    <xf numFmtId="0" fontId="6" fillId="3" borderId="15" xfId="0" applyNumberFormat="1" applyFont="1" applyFill="1" applyBorder="1"/>
    <xf numFmtId="0" fontId="6" fillId="3" borderId="16" xfId="0" applyNumberFormat="1" applyFont="1" applyFill="1" applyBorder="1"/>
    <xf numFmtId="9" fontId="3" fillId="0" borderId="8" xfId="2" applyFont="1" applyBorder="1" applyAlignment="1">
      <alignment horizontal="center"/>
    </xf>
    <xf numFmtId="0" fontId="6" fillId="3" borderId="17" xfId="0" applyNumberFormat="1" applyFont="1" applyFill="1" applyBorder="1" applyAlignment="1">
      <alignment horizontal="center"/>
    </xf>
    <xf numFmtId="0" fontId="6" fillId="3" borderId="18" xfId="0" applyNumberFormat="1" applyFont="1" applyFill="1" applyBorder="1" applyAlignment="1">
      <alignment horizontal="center"/>
    </xf>
    <xf numFmtId="0" fontId="0" fillId="2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7" borderId="19" xfId="0" applyFill="1" applyBorder="1"/>
    <xf numFmtId="0" fontId="7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6" fillId="7" borderId="0" xfId="0" applyNumberFormat="1" applyFont="1" applyFill="1" applyBorder="1" applyAlignment="1">
      <alignment horizontal="center"/>
    </xf>
    <xf numFmtId="0" fontId="0" fillId="7" borderId="0" xfId="0" applyFill="1"/>
    <xf numFmtId="166" fontId="3" fillId="7" borderId="0" xfId="0" applyNumberFormat="1" applyFont="1" applyFill="1" applyAlignment="1">
      <alignment horizontal="center"/>
    </xf>
    <xf numFmtId="9" fontId="3" fillId="7" borderId="0" xfId="2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3" fillId="7" borderId="0" xfId="0" applyFont="1" applyFill="1" applyAlignment="1">
      <alignment horizontal="center"/>
    </xf>
    <xf numFmtId="165" fontId="6" fillId="7" borderId="0" xfId="1" applyFont="1" applyFill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8" xfId="0" applyFont="1" applyFill="1" applyBorder="1"/>
    <xf numFmtId="0" fontId="6" fillId="7" borderId="9" xfId="0" applyFont="1" applyFill="1" applyBorder="1"/>
    <xf numFmtId="166" fontId="3" fillId="7" borderId="11" xfId="0" applyNumberFormat="1" applyFont="1" applyFill="1" applyBorder="1" applyAlignment="1">
      <alignment horizontal="center"/>
    </xf>
    <xf numFmtId="166" fontId="6" fillId="7" borderId="0" xfId="0" applyNumberFormat="1" applyFont="1" applyFill="1" applyAlignment="1">
      <alignment horizontal="center"/>
    </xf>
    <xf numFmtId="164" fontId="3" fillId="7" borderId="0" xfId="1" applyNumberFormat="1" applyFont="1" applyFill="1" applyAlignment="1">
      <alignment horizontal="center"/>
    </xf>
    <xf numFmtId="164" fontId="2" fillId="4" borderId="0" xfId="1" applyNumberFormat="1" applyFont="1" applyFill="1" applyBorder="1" applyAlignment="1">
      <alignment vertical="top"/>
    </xf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7" fillId="7" borderId="0" xfId="0" applyFont="1" applyFill="1" applyBorder="1" applyAlignment="1"/>
    <xf numFmtId="0" fontId="0" fillId="9" borderId="0" xfId="0" applyFill="1"/>
    <xf numFmtId="166" fontId="10" fillId="7" borderId="0" xfId="1" applyNumberFormat="1" applyFont="1" applyFill="1" applyAlignment="1">
      <alignment horizontal="right"/>
    </xf>
    <xf numFmtId="164" fontId="10" fillId="7" borderId="0" xfId="1" applyNumberFormat="1" applyFont="1" applyFill="1" applyAlignment="1">
      <alignment horizontal="right"/>
    </xf>
    <xf numFmtId="0" fontId="0" fillId="10" borderId="0" xfId="0" applyFill="1"/>
    <xf numFmtId="9" fontId="11" fillId="7" borderId="0" xfId="2" applyFont="1" applyFill="1" applyAlignment="1">
      <alignment horizontal="center"/>
    </xf>
    <xf numFmtId="0" fontId="0" fillId="5" borderId="0" xfId="0" applyFill="1" applyBorder="1"/>
    <xf numFmtId="166" fontId="8" fillId="7" borderId="3" xfId="0" applyNumberFormat="1" applyFont="1" applyFill="1" applyBorder="1" applyAlignment="1">
      <alignment horizontal="right"/>
    </xf>
    <xf numFmtId="165" fontId="8" fillId="7" borderId="0" xfId="1" applyFont="1" applyFill="1" applyAlignment="1">
      <alignment horizontal="right"/>
    </xf>
    <xf numFmtId="0" fontId="8" fillId="7" borderId="0" xfId="0" applyFont="1" applyFill="1" applyAlignment="1">
      <alignment horizontal="right"/>
    </xf>
    <xf numFmtId="22" fontId="8" fillId="7" borderId="0" xfId="0" applyNumberFormat="1" applyFont="1" applyFill="1" applyAlignment="1">
      <alignment horizontal="right"/>
    </xf>
    <xf numFmtId="167" fontId="4" fillId="4" borderId="3" xfId="0" applyNumberFormat="1" applyFont="1" applyFill="1" applyBorder="1" applyAlignment="1">
      <alignment horizontal="center" vertical="center"/>
    </xf>
    <xf numFmtId="167" fontId="4" fillId="4" borderId="4" xfId="0" applyNumberFormat="1" applyFont="1" applyFill="1" applyBorder="1" applyAlignment="1">
      <alignment horizontal="center" vertical="center"/>
    </xf>
    <xf numFmtId="0" fontId="6" fillId="3" borderId="20" xfId="0" applyNumberFormat="1" applyFont="1" applyFill="1" applyBorder="1" applyAlignment="1">
      <alignment horizontal="center"/>
    </xf>
    <xf numFmtId="0" fontId="6" fillId="3" borderId="21" xfId="0" applyNumberFormat="1" applyFont="1" applyFill="1" applyBorder="1" applyAlignment="1">
      <alignment horizontal="center"/>
    </xf>
    <xf numFmtId="0" fontId="6" fillId="3" borderId="22" xfId="0" applyNumberFormat="1" applyFont="1" applyFill="1" applyBorder="1" applyAlignment="1">
      <alignment horizontal="center"/>
    </xf>
    <xf numFmtId="0" fontId="5" fillId="0" borderId="5" xfId="0" applyFont="1" applyBorder="1" applyAlignment="1">
      <alignment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9" fontId="9" fillId="2" borderId="9" xfId="2" applyFont="1" applyFill="1" applyBorder="1" applyAlignment="1">
      <alignment horizontal="center" vertical="center"/>
    </xf>
    <xf numFmtId="9" fontId="9" fillId="2" borderId="4" xfId="2" applyFont="1" applyFill="1" applyBorder="1" applyAlignment="1">
      <alignment horizontal="center" vertical="center"/>
    </xf>
    <xf numFmtId="9" fontId="9" fillId="2" borderId="6" xfId="2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/>
    </xf>
    <xf numFmtId="0" fontId="6" fillId="11" borderId="13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ual" xfId="2" builtinId="5"/>
  </cellStyles>
  <dxfs count="4">
    <dxf>
      <fill>
        <patternFill>
          <bgColor theme="0" tint="-0.499984740745262"/>
        </patternFill>
      </fill>
    </dxf>
    <dxf>
      <font>
        <color theme="0" tint="-0.34998626667073579"/>
      </font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 patternType="darkUp"/>
      </fill>
    </dxf>
  </dxfs>
  <tableStyles count="0" defaultTableStyle="TableStyleMedium2" defaultPivotStyle="PivotStyleLight16"/>
  <colors>
    <mruColors>
      <color rgb="FF008000"/>
      <color rgb="FF404F21"/>
      <color rgb="FF53802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0" fmlaLink="$C$29" max="3000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40106</xdr:colOff>
      <xdr:row>0</xdr:row>
      <xdr:rowOff>24063</xdr:rowOff>
    </xdr:from>
    <xdr:to>
      <xdr:col>38</xdr:col>
      <xdr:colOff>216952</xdr:colOff>
      <xdr:row>0</xdr:row>
      <xdr:rowOff>417445</xdr:rowOff>
    </xdr:to>
    <xdr:sp macro="" textlink="">
      <xdr:nvSpPr>
        <xdr:cNvPr id="14" name="TextBox 13"/>
        <xdr:cNvSpPr txBox="1"/>
      </xdr:nvSpPr>
      <xdr:spPr>
        <a:xfrm>
          <a:off x="3465095" y="24063"/>
          <a:ext cx="11125583" cy="393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Your Project Name </a:t>
          </a:r>
          <a:r>
            <a:rPr lang="en-US" sz="2000" b="1" baseline="0"/>
            <a:t>- Project Tracking</a:t>
          </a:r>
          <a:endParaRPr lang="en-US" sz="2000" b="1"/>
        </a:p>
      </xdr:txBody>
    </xdr:sp>
    <xdr:clientData/>
  </xdr:twoCellAnchor>
  <xdr:twoCellAnchor editAs="oneCell">
    <xdr:from>
      <xdr:col>0</xdr:col>
      <xdr:colOff>42088</xdr:colOff>
      <xdr:row>0</xdr:row>
      <xdr:rowOff>42811</xdr:rowOff>
    </xdr:from>
    <xdr:to>
      <xdr:col>0</xdr:col>
      <xdr:colOff>1678113</xdr:colOff>
      <xdr:row>0</xdr:row>
      <xdr:rowOff>448997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088" y="42811"/>
          <a:ext cx="1636025" cy="406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pageSetUpPr fitToPage="1"/>
  </sheetPr>
  <dimension ref="A1:BG263"/>
  <sheetViews>
    <sheetView tabSelected="1" zoomScale="88" zoomScaleNormal="88" zoomScalePageLayoutView="88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2" sqref="A2:A3"/>
    </sheetView>
  </sheetViews>
  <sheetFormatPr baseColWidth="10" defaultColWidth="8.85546875" defaultRowHeight="15"/>
  <cols>
    <col min="1" max="1" width="29.42578125" customWidth="1"/>
    <col min="2" max="2" width="17.42578125" style="3" customWidth="1"/>
    <col min="3" max="3" width="4.28515625" style="2" customWidth="1"/>
    <col min="4" max="4" width="4.7109375" style="2" customWidth="1"/>
    <col min="5" max="5" width="5.28515625" style="54" customWidth="1"/>
    <col min="6" max="6" width="8.7109375" style="4" bestFit="1" customWidth="1"/>
    <col min="7" max="7" width="5" style="4" bestFit="1" customWidth="1"/>
    <col min="8" max="8" width="4.85546875" style="21" bestFit="1" customWidth="1"/>
    <col min="9" max="9" width="4.7109375" style="21" customWidth="1"/>
    <col min="10" max="12" width="4.7109375" style="21" bestFit="1" customWidth="1"/>
    <col min="13" max="13" width="5.140625" style="21" bestFit="1" customWidth="1"/>
    <col min="14" max="14" width="23.5703125" style="21" customWidth="1"/>
    <col min="15" max="15" width="4.85546875" style="21" bestFit="1" customWidth="1"/>
    <col min="16" max="16" width="5" style="21" bestFit="1" customWidth="1"/>
    <col min="17" max="17" width="4.7109375" style="21" bestFit="1" customWidth="1"/>
    <col min="18" max="19" width="5" style="21" bestFit="1" customWidth="1"/>
    <col min="20" max="20" width="5.140625" style="21" bestFit="1" customWidth="1"/>
    <col min="21" max="26" width="5" style="21" bestFit="1" customWidth="1"/>
    <col min="27" max="27" width="5.140625" style="21" bestFit="1" customWidth="1"/>
    <col min="28" max="28" width="4.7109375" style="21" bestFit="1" customWidth="1"/>
    <col min="29" max="29" width="4.85546875" style="21" bestFit="1" customWidth="1"/>
    <col min="30" max="31" width="4.7109375" style="21" bestFit="1" customWidth="1"/>
    <col min="32" max="33" width="4.7109375" style="22" bestFit="1" customWidth="1"/>
    <col min="34" max="34" width="5.140625" style="22" bestFit="1" customWidth="1"/>
    <col min="35" max="35" width="4.7109375" style="22" bestFit="1" customWidth="1"/>
    <col min="36" max="36" width="5.28515625" style="22" bestFit="1" customWidth="1"/>
    <col min="37" max="37" width="5.140625" style="22" bestFit="1" customWidth="1"/>
    <col min="38" max="39" width="5.28515625" style="22" bestFit="1" customWidth="1"/>
  </cols>
  <sheetData>
    <row r="1" spans="1:59" ht="39" customHeight="1" thickBot="1">
      <c r="A1" s="39"/>
      <c r="B1" s="44"/>
      <c r="C1" s="40"/>
      <c r="D1" s="40"/>
      <c r="E1" s="5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3"/>
      <c r="AG1" s="43"/>
      <c r="AH1" s="43"/>
      <c r="AI1" s="43"/>
      <c r="AJ1" s="43"/>
      <c r="AK1" s="43"/>
      <c r="AL1" s="43"/>
      <c r="AM1" s="4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</row>
    <row r="2" spans="1:59" ht="18" customHeight="1" thickBot="1">
      <c r="A2" s="79" t="s">
        <v>0</v>
      </c>
      <c r="B2" s="81" t="s">
        <v>3</v>
      </c>
      <c r="C2" s="83" t="s">
        <v>1</v>
      </c>
      <c r="D2" s="83" t="s">
        <v>2</v>
      </c>
      <c r="E2" s="85" t="s">
        <v>7</v>
      </c>
      <c r="F2" s="77" t="s">
        <v>4</v>
      </c>
      <c r="G2" s="7"/>
      <c r="H2" s="8">
        <v>41164</v>
      </c>
      <c r="I2" s="8">
        <v>41165</v>
      </c>
      <c r="J2" s="8">
        <v>41166</v>
      </c>
      <c r="K2" s="8">
        <v>41167</v>
      </c>
      <c r="L2" s="8">
        <v>41168</v>
      </c>
      <c r="M2" s="8">
        <v>41169</v>
      </c>
      <c r="N2" s="8">
        <v>41170</v>
      </c>
      <c r="O2" s="8">
        <v>41171</v>
      </c>
      <c r="P2" s="8">
        <v>41172</v>
      </c>
      <c r="Q2" s="8">
        <v>41173</v>
      </c>
      <c r="R2" s="8">
        <v>41174</v>
      </c>
      <c r="S2" s="8">
        <v>41175</v>
      </c>
      <c r="T2" s="8">
        <v>41176</v>
      </c>
      <c r="U2" s="8">
        <v>41177</v>
      </c>
      <c r="V2" s="8">
        <v>41178</v>
      </c>
      <c r="W2" s="8">
        <v>41179</v>
      </c>
      <c r="X2" s="8">
        <v>41180</v>
      </c>
      <c r="Y2" s="8">
        <v>41181</v>
      </c>
      <c r="Z2" s="8">
        <v>41182</v>
      </c>
      <c r="AA2" s="8">
        <v>41183</v>
      </c>
      <c r="AB2" s="8">
        <v>41184</v>
      </c>
      <c r="AC2" s="8">
        <v>41185</v>
      </c>
      <c r="AD2" s="8">
        <v>41186</v>
      </c>
      <c r="AE2" s="8">
        <v>41187</v>
      </c>
      <c r="AF2" s="8">
        <v>41188</v>
      </c>
      <c r="AG2" s="8">
        <v>41189</v>
      </c>
      <c r="AH2" s="8">
        <v>41190</v>
      </c>
      <c r="AI2" s="8">
        <v>41191</v>
      </c>
      <c r="AJ2" s="8">
        <v>41192</v>
      </c>
      <c r="AK2" s="8">
        <v>41193</v>
      </c>
      <c r="AL2" s="8">
        <v>41194</v>
      </c>
      <c r="AM2" s="8">
        <v>41195</v>
      </c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</row>
    <row r="3" spans="1:59" ht="13.7" customHeight="1" thickBot="1">
      <c r="A3" s="80"/>
      <c r="B3" s="82"/>
      <c r="C3" s="84"/>
      <c r="D3" s="84"/>
      <c r="E3" s="86"/>
      <c r="F3" s="78"/>
      <c r="G3" s="18"/>
      <c r="H3" s="14" t="str">
        <f>TEXT(H2,"ddd")</f>
        <v>Wed</v>
      </c>
      <c r="I3" s="14" t="str">
        <f t="shared" ref="I3:AM3" si="0">TEXT(I2,"ddd")</f>
        <v>Thu</v>
      </c>
      <c r="J3" s="14" t="str">
        <f t="shared" si="0"/>
        <v>Fri</v>
      </c>
      <c r="K3" s="14" t="str">
        <f t="shared" si="0"/>
        <v>Sat</v>
      </c>
      <c r="L3" s="14" t="str">
        <f t="shared" si="0"/>
        <v>Sun</v>
      </c>
      <c r="M3" s="14" t="str">
        <f t="shared" si="0"/>
        <v>Mon</v>
      </c>
      <c r="N3" s="14" t="str">
        <f t="shared" si="0"/>
        <v>Tue</v>
      </c>
      <c r="O3" s="14" t="str">
        <f t="shared" si="0"/>
        <v>Wed</v>
      </c>
      <c r="P3" s="14" t="str">
        <f t="shared" si="0"/>
        <v>Thu</v>
      </c>
      <c r="Q3" s="14" t="str">
        <f t="shared" si="0"/>
        <v>Fri</v>
      </c>
      <c r="R3" s="14" t="str">
        <f t="shared" si="0"/>
        <v>Sat</v>
      </c>
      <c r="S3" s="14" t="str">
        <f t="shared" si="0"/>
        <v>Sun</v>
      </c>
      <c r="T3" s="14" t="str">
        <f t="shared" si="0"/>
        <v>Mon</v>
      </c>
      <c r="U3" s="14" t="str">
        <f t="shared" si="0"/>
        <v>Tue</v>
      </c>
      <c r="V3" s="14" t="str">
        <f t="shared" si="0"/>
        <v>Wed</v>
      </c>
      <c r="W3" s="14" t="str">
        <f t="shared" si="0"/>
        <v>Thu</v>
      </c>
      <c r="X3" s="14" t="str">
        <f t="shared" si="0"/>
        <v>Fri</v>
      </c>
      <c r="Y3" s="14" t="str">
        <f t="shared" si="0"/>
        <v>Sat</v>
      </c>
      <c r="Z3" s="14" t="str">
        <f t="shared" si="0"/>
        <v>Sun</v>
      </c>
      <c r="AA3" s="14" t="str">
        <f t="shared" si="0"/>
        <v>Mon</v>
      </c>
      <c r="AB3" s="14" t="str">
        <f t="shared" si="0"/>
        <v>Tue</v>
      </c>
      <c r="AC3" s="14" t="str">
        <f t="shared" si="0"/>
        <v>Wed</v>
      </c>
      <c r="AD3" s="14" t="str">
        <f t="shared" si="0"/>
        <v>Thu</v>
      </c>
      <c r="AE3" s="14" t="str">
        <f t="shared" si="0"/>
        <v>Fri</v>
      </c>
      <c r="AF3" s="14" t="str">
        <f t="shared" si="0"/>
        <v>Sat</v>
      </c>
      <c r="AG3" s="14" t="str">
        <f t="shared" si="0"/>
        <v>Sun</v>
      </c>
      <c r="AH3" s="14" t="str">
        <f t="shared" si="0"/>
        <v>Mon</v>
      </c>
      <c r="AI3" s="14" t="str">
        <f t="shared" si="0"/>
        <v>Tue</v>
      </c>
      <c r="AJ3" s="14" t="str">
        <f t="shared" si="0"/>
        <v>Wed</v>
      </c>
      <c r="AK3" s="14" t="str">
        <f t="shared" si="0"/>
        <v>Thu</v>
      </c>
      <c r="AL3" s="14" t="str">
        <f t="shared" si="0"/>
        <v>Fri</v>
      </c>
      <c r="AM3" s="14" t="str">
        <f t="shared" si="0"/>
        <v>Sat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</row>
    <row r="4" spans="1:59" ht="6" customHeight="1" thickBot="1">
      <c r="A4" s="72"/>
      <c r="B4" s="73"/>
      <c r="C4" s="74"/>
      <c r="D4" s="74"/>
      <c r="E4" s="75"/>
      <c r="F4" s="76"/>
      <c r="G4" s="18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7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</row>
    <row r="5" spans="1:59">
      <c r="A5" s="71" t="s">
        <v>5</v>
      </c>
      <c r="B5" s="16"/>
      <c r="C5" s="5"/>
      <c r="D5" s="5"/>
      <c r="E5" s="52"/>
      <c r="F5" s="10"/>
      <c r="G5" s="6"/>
      <c r="H5" s="68"/>
      <c r="I5" s="68"/>
      <c r="J5" s="69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70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</row>
    <row r="6" spans="1:59">
      <c r="A6" s="9" t="s">
        <v>22</v>
      </c>
      <c r="B6" s="16" t="s">
        <v>25</v>
      </c>
      <c r="C6" s="5">
        <v>41166</v>
      </c>
      <c r="D6" s="5">
        <v>41168</v>
      </c>
      <c r="E6" s="52">
        <f>NETWORKDAYS($C6,$D6)</f>
        <v>1</v>
      </c>
      <c r="F6" s="10">
        <v>0.9</v>
      </c>
      <c r="G6" s="19">
        <f>F6*E6</f>
        <v>0.9</v>
      </c>
      <c r="H6" s="23"/>
      <c r="I6" s="23"/>
      <c r="J6" s="2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4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>
      <c r="A7" s="9" t="s">
        <v>23</v>
      </c>
      <c r="B7" s="16" t="s">
        <v>26</v>
      </c>
      <c r="C7" s="5">
        <v>41168</v>
      </c>
      <c r="D7" s="5">
        <v>41170</v>
      </c>
      <c r="E7" s="52">
        <f t="shared" ref="E7:E27" si="1">NETWORKDAYS($C7,$D7)</f>
        <v>2</v>
      </c>
      <c r="F7" s="10">
        <v>1</v>
      </c>
      <c r="G7" s="19">
        <f t="shared" ref="G7:G27" si="2">F7*E7</f>
        <v>2</v>
      </c>
      <c r="H7" s="23"/>
      <c r="I7" s="88"/>
      <c r="J7" s="29" t="s">
        <v>51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4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>
      <c r="A8" s="9" t="s">
        <v>24</v>
      </c>
      <c r="B8" s="16" t="s">
        <v>27</v>
      </c>
      <c r="C8" s="5">
        <v>41170</v>
      </c>
      <c r="D8" s="5">
        <v>41182</v>
      </c>
      <c r="E8" s="52">
        <f t="shared" si="1"/>
        <v>9</v>
      </c>
      <c r="F8" s="10">
        <v>1</v>
      </c>
      <c r="G8" s="19">
        <f t="shared" si="2"/>
        <v>9</v>
      </c>
      <c r="H8" s="23"/>
      <c r="I8" s="23"/>
      <c r="J8" s="29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4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</row>
    <row r="9" spans="1:59">
      <c r="A9" s="11" t="s">
        <v>6</v>
      </c>
      <c r="B9" s="16"/>
      <c r="C9" s="5"/>
      <c r="D9" s="5"/>
      <c r="E9" s="52">
        <f t="shared" si="1"/>
        <v>0</v>
      </c>
      <c r="F9" s="10"/>
      <c r="G9" s="19">
        <f t="shared" si="2"/>
        <v>0</v>
      </c>
      <c r="H9" s="23"/>
      <c r="I9" s="23"/>
      <c r="J9" s="2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4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</row>
    <row r="10" spans="1:59">
      <c r="A10" s="9" t="s">
        <v>28</v>
      </c>
      <c r="B10" s="16" t="s">
        <v>46</v>
      </c>
      <c r="C10" s="5">
        <v>41174</v>
      </c>
      <c r="D10" s="5">
        <v>41176</v>
      </c>
      <c r="E10" s="52">
        <f t="shared" si="1"/>
        <v>1</v>
      </c>
      <c r="F10" s="10">
        <v>1</v>
      </c>
      <c r="G10" s="19">
        <f t="shared" si="2"/>
        <v>1</v>
      </c>
      <c r="H10" s="23"/>
      <c r="I10" s="23"/>
      <c r="J10" s="29"/>
      <c r="K10" s="23"/>
      <c r="L10" s="23"/>
      <c r="M10" s="23"/>
      <c r="N10" s="23" t="s">
        <v>51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4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</row>
    <row r="11" spans="1:59">
      <c r="A11" s="9" t="s">
        <v>29</v>
      </c>
      <c r="B11" s="16" t="s">
        <v>27</v>
      </c>
      <c r="C11" s="5">
        <v>41175</v>
      </c>
      <c r="D11" s="5">
        <v>41179</v>
      </c>
      <c r="E11" s="52">
        <f t="shared" si="1"/>
        <v>4</v>
      </c>
      <c r="F11" s="10">
        <v>0.65</v>
      </c>
      <c r="G11" s="19">
        <f t="shared" si="2"/>
        <v>2.6</v>
      </c>
      <c r="H11" s="23"/>
      <c r="I11" s="23"/>
      <c r="J11" s="2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4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1:59">
      <c r="A12" s="9" t="s">
        <v>30</v>
      </c>
      <c r="B12" s="16" t="s">
        <v>47</v>
      </c>
      <c r="C12" s="5">
        <v>41179</v>
      </c>
      <c r="D12" s="5">
        <v>41187</v>
      </c>
      <c r="E12" s="52">
        <f t="shared" si="1"/>
        <v>7</v>
      </c>
      <c r="F12" s="10">
        <v>0.55000000000000004</v>
      </c>
      <c r="G12" s="19">
        <f t="shared" si="2"/>
        <v>3.8500000000000005</v>
      </c>
      <c r="H12" s="23"/>
      <c r="I12" s="23"/>
      <c r="J12" s="2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4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1:59">
      <c r="A13" s="9" t="s">
        <v>31</v>
      </c>
      <c r="B13" s="16" t="s">
        <v>27</v>
      </c>
      <c r="C13" s="5">
        <v>41175</v>
      </c>
      <c r="D13" s="5">
        <v>41175</v>
      </c>
      <c r="E13" s="52">
        <f t="shared" si="1"/>
        <v>0</v>
      </c>
      <c r="F13" s="10">
        <v>0</v>
      </c>
      <c r="G13" s="19">
        <f t="shared" si="2"/>
        <v>0</v>
      </c>
      <c r="H13" s="23"/>
      <c r="I13" s="23"/>
      <c r="J13" s="2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4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</row>
    <row r="14" spans="1:59">
      <c r="A14" s="9" t="s">
        <v>32</v>
      </c>
      <c r="B14" s="16" t="s">
        <v>47</v>
      </c>
      <c r="C14" s="5">
        <v>41176</v>
      </c>
      <c r="D14" s="5">
        <v>41176</v>
      </c>
      <c r="E14" s="52">
        <f t="shared" si="1"/>
        <v>1</v>
      </c>
      <c r="F14" s="10">
        <v>1</v>
      </c>
      <c r="G14" s="19">
        <f t="shared" si="2"/>
        <v>1</v>
      </c>
      <c r="H14" s="23"/>
      <c r="I14" s="23"/>
      <c r="J14" s="29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</row>
    <row r="15" spans="1:59">
      <c r="A15" s="12" t="s">
        <v>33</v>
      </c>
      <c r="B15" s="16" t="s">
        <v>27</v>
      </c>
      <c r="C15" s="5">
        <v>41177</v>
      </c>
      <c r="D15" s="5">
        <v>41177</v>
      </c>
      <c r="E15" s="52">
        <f t="shared" si="1"/>
        <v>1</v>
      </c>
      <c r="F15" s="10">
        <v>1</v>
      </c>
      <c r="G15" s="19">
        <f t="shared" si="2"/>
        <v>1</v>
      </c>
      <c r="H15" s="23"/>
      <c r="I15" s="23"/>
      <c r="J15" s="29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4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</row>
    <row r="16" spans="1:59">
      <c r="A16" s="12" t="s">
        <v>34</v>
      </c>
      <c r="B16" s="16" t="s">
        <v>25</v>
      </c>
      <c r="C16" s="5">
        <v>41178</v>
      </c>
      <c r="D16" s="5">
        <v>41178</v>
      </c>
      <c r="E16" s="52">
        <f t="shared" si="1"/>
        <v>1</v>
      </c>
      <c r="F16" s="10">
        <v>0.7</v>
      </c>
      <c r="G16" s="19">
        <f t="shared" si="2"/>
        <v>0.7</v>
      </c>
      <c r="H16" s="23"/>
      <c r="I16" s="23"/>
      <c r="J16" s="2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4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</row>
    <row r="17" spans="1:59">
      <c r="A17" s="9" t="s">
        <v>35</v>
      </c>
      <c r="B17" s="16" t="s">
        <v>27</v>
      </c>
      <c r="C17" s="5">
        <v>41179</v>
      </c>
      <c r="D17" s="5">
        <v>41179</v>
      </c>
      <c r="E17" s="52">
        <f t="shared" si="1"/>
        <v>1</v>
      </c>
      <c r="F17" s="10">
        <v>0</v>
      </c>
      <c r="G17" s="19">
        <f t="shared" si="2"/>
        <v>0</v>
      </c>
      <c r="H17" s="23"/>
      <c r="I17" s="23"/>
      <c r="J17" s="29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</row>
    <row r="18" spans="1:59">
      <c r="A18" s="9" t="s">
        <v>36</v>
      </c>
      <c r="B18" s="16" t="s">
        <v>46</v>
      </c>
      <c r="C18" s="5">
        <v>41180</v>
      </c>
      <c r="D18" s="5">
        <v>41180</v>
      </c>
      <c r="E18" s="52">
        <f t="shared" si="1"/>
        <v>1</v>
      </c>
      <c r="F18" s="10">
        <v>0</v>
      </c>
      <c r="G18" s="19">
        <f t="shared" si="2"/>
        <v>0</v>
      </c>
      <c r="H18" s="23"/>
      <c r="I18" s="23"/>
      <c r="J18" s="2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4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</row>
    <row r="19" spans="1:59">
      <c r="A19" s="9" t="s">
        <v>37</v>
      </c>
      <c r="B19" s="16" t="s">
        <v>46</v>
      </c>
      <c r="C19" s="5">
        <v>41181</v>
      </c>
      <c r="D19" s="5">
        <v>41181</v>
      </c>
      <c r="E19" s="52">
        <f t="shared" si="1"/>
        <v>0</v>
      </c>
      <c r="F19" s="10">
        <v>0</v>
      </c>
      <c r="G19" s="19">
        <f t="shared" si="2"/>
        <v>0</v>
      </c>
      <c r="H19" s="23"/>
      <c r="I19" s="23"/>
      <c r="J19" s="2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4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</row>
    <row r="20" spans="1:59">
      <c r="A20" s="12" t="s">
        <v>38</v>
      </c>
      <c r="B20" s="16" t="s">
        <v>46</v>
      </c>
      <c r="C20" s="5">
        <v>41182</v>
      </c>
      <c r="D20" s="5">
        <v>41182</v>
      </c>
      <c r="E20" s="52">
        <f t="shared" si="1"/>
        <v>0</v>
      </c>
      <c r="F20" s="10">
        <v>0</v>
      </c>
      <c r="G20" s="19">
        <f t="shared" si="2"/>
        <v>0</v>
      </c>
      <c r="H20" s="23"/>
      <c r="I20" s="23"/>
      <c r="J20" s="29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</row>
    <row r="21" spans="1:59">
      <c r="A21" s="12" t="s">
        <v>39</v>
      </c>
      <c r="B21" s="16" t="s">
        <v>46</v>
      </c>
      <c r="C21" s="5">
        <v>41183</v>
      </c>
      <c r="D21" s="5">
        <v>41183</v>
      </c>
      <c r="E21" s="52">
        <f t="shared" si="1"/>
        <v>1</v>
      </c>
      <c r="F21" s="10">
        <v>0.5</v>
      </c>
      <c r="G21" s="19">
        <f t="shared" si="2"/>
        <v>0.5</v>
      </c>
      <c r="H21" s="23"/>
      <c r="I21" s="23"/>
      <c r="J21" s="29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4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</row>
    <row r="22" spans="1:59">
      <c r="A22" s="12" t="s">
        <v>40</v>
      </c>
      <c r="B22" s="16" t="s">
        <v>46</v>
      </c>
      <c r="C22" s="5">
        <v>41184</v>
      </c>
      <c r="D22" s="5">
        <v>41184</v>
      </c>
      <c r="E22" s="52">
        <f t="shared" si="1"/>
        <v>1</v>
      </c>
      <c r="F22" s="10">
        <v>0</v>
      </c>
      <c r="G22" s="19">
        <f t="shared" si="2"/>
        <v>0</v>
      </c>
      <c r="H22" s="23"/>
      <c r="I22" s="23"/>
      <c r="J22" s="2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4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</row>
    <row r="23" spans="1:59">
      <c r="A23" s="9" t="s">
        <v>41</v>
      </c>
      <c r="B23" s="16" t="s">
        <v>46</v>
      </c>
      <c r="C23" s="5">
        <v>41185</v>
      </c>
      <c r="D23" s="5">
        <v>41185</v>
      </c>
      <c r="E23" s="52">
        <f t="shared" si="1"/>
        <v>1</v>
      </c>
      <c r="F23" s="10">
        <v>0</v>
      </c>
      <c r="G23" s="19">
        <f t="shared" si="2"/>
        <v>0</v>
      </c>
      <c r="H23" s="23"/>
      <c r="I23" s="23"/>
      <c r="J23" s="29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</row>
    <row r="24" spans="1:59">
      <c r="A24" s="9" t="s">
        <v>42</v>
      </c>
      <c r="B24" s="16" t="s">
        <v>46</v>
      </c>
      <c r="C24" s="5">
        <v>41186</v>
      </c>
      <c r="D24" s="5">
        <v>41186</v>
      </c>
      <c r="E24" s="52">
        <f t="shared" si="1"/>
        <v>1</v>
      </c>
      <c r="F24" s="10"/>
      <c r="G24" s="19"/>
      <c r="H24" s="23"/>
      <c r="I24" s="23"/>
      <c r="J24" s="29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4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</row>
    <row r="25" spans="1:59">
      <c r="A25" s="9" t="s">
        <v>43</v>
      </c>
      <c r="B25" s="16" t="s">
        <v>46</v>
      </c>
      <c r="C25" s="5">
        <v>41187</v>
      </c>
      <c r="D25" s="5">
        <v>41187</v>
      </c>
      <c r="E25" s="52">
        <f t="shared" si="1"/>
        <v>1</v>
      </c>
      <c r="F25" s="10">
        <v>0</v>
      </c>
      <c r="G25" s="19">
        <f t="shared" si="2"/>
        <v>0</v>
      </c>
      <c r="H25" s="23"/>
      <c r="I25" s="23"/>
      <c r="J25" s="2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4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</row>
    <row r="26" spans="1:59">
      <c r="A26" s="9" t="s">
        <v>44</v>
      </c>
      <c r="B26" s="16" t="s">
        <v>46</v>
      </c>
      <c r="C26" s="5">
        <v>41188</v>
      </c>
      <c r="D26" s="5">
        <v>41188</v>
      </c>
      <c r="E26" s="52">
        <f t="shared" si="1"/>
        <v>0</v>
      </c>
      <c r="F26" s="10">
        <v>0</v>
      </c>
      <c r="G26" s="19">
        <f t="shared" si="2"/>
        <v>0</v>
      </c>
      <c r="H26" s="23"/>
      <c r="I26" s="23"/>
      <c r="J26" s="29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</row>
    <row r="27" spans="1:59" ht="15.75" thickBot="1">
      <c r="A27" s="13" t="s">
        <v>45</v>
      </c>
      <c r="B27" s="16" t="s">
        <v>46</v>
      </c>
      <c r="C27" s="5">
        <v>41189</v>
      </c>
      <c r="D27" s="5">
        <v>41189</v>
      </c>
      <c r="E27" s="52">
        <f t="shared" si="1"/>
        <v>0</v>
      </c>
      <c r="F27" s="10">
        <v>0</v>
      </c>
      <c r="G27" s="19">
        <f t="shared" si="2"/>
        <v>0</v>
      </c>
      <c r="H27" s="25"/>
      <c r="I27" s="25"/>
      <c r="J27" s="30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  <c r="AG27" s="26"/>
      <c r="AH27" s="25"/>
      <c r="AI27" s="25"/>
      <c r="AJ27" s="25"/>
      <c r="AK27" s="25"/>
      <c r="AL27" s="25"/>
      <c r="AM27" s="27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</row>
    <row r="28" spans="1:59" ht="15.75" thickBot="1">
      <c r="A28" s="15"/>
      <c r="B28" s="17"/>
      <c r="C28" s="49"/>
      <c r="D28" s="49"/>
      <c r="E28" s="53">
        <f>SUM(E5:E27)</f>
        <v>34</v>
      </c>
      <c r="F28" s="20">
        <f>SUM($G6:$G27)/$E28</f>
        <v>0.66323529411764703</v>
      </c>
      <c r="G28" s="28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7"/>
      <c r="AJ28" s="47"/>
      <c r="AK28" s="47"/>
      <c r="AL28" s="47"/>
      <c r="AM28" s="48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</row>
    <row r="29" spans="1:59">
      <c r="A29" s="62" t="s">
        <v>48</v>
      </c>
      <c r="B29" s="57">
        <f ca="1">IF(C29&gt;0,NOW()+C29,NOW()-C29)</f>
        <v>41766.62488009259</v>
      </c>
      <c r="C29" s="60">
        <v>0</v>
      </c>
      <c r="D29" s="40"/>
      <c r="E29" s="5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3"/>
      <c r="AH29" s="43"/>
      <c r="AI29" s="43"/>
      <c r="AJ29" s="43"/>
      <c r="AK29" s="43"/>
      <c r="AL29" s="43"/>
      <c r="AM29" s="4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>
      <c r="A30" s="63" t="s">
        <v>20</v>
      </c>
      <c r="B30" s="57">
        <f>MIN(C6:C27)</f>
        <v>41166</v>
      </c>
      <c r="C30" s="41"/>
      <c r="D30" s="40"/>
      <c r="E30" s="51"/>
      <c r="F30" s="41"/>
      <c r="G30" s="41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3"/>
      <c r="AI30" s="43"/>
      <c r="AJ30" s="43"/>
      <c r="AK30" s="43"/>
      <c r="AL30" s="43"/>
      <c r="AM30" s="4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>
      <c r="A31" s="64" t="s">
        <v>21</v>
      </c>
      <c r="B31" s="57">
        <f>MAX(D6:D27)</f>
        <v>41189</v>
      </c>
      <c r="C31" s="41"/>
      <c r="D31" s="40"/>
      <c r="E31" s="5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50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3"/>
      <c r="AH31" s="43"/>
      <c r="AI31" s="43"/>
      <c r="AJ31" s="43"/>
      <c r="AK31" s="43"/>
      <c r="AL31" s="43"/>
      <c r="AM31" s="4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</row>
    <row r="32" spans="1:59">
      <c r="A32" s="64" t="s">
        <v>19</v>
      </c>
      <c r="B32" s="58">
        <f>E28</f>
        <v>34</v>
      </c>
      <c r="C32" s="41"/>
      <c r="D32" s="40"/>
      <c r="E32" s="5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3"/>
      <c r="AH32" s="43"/>
      <c r="AI32" s="43"/>
      <c r="AJ32" s="43"/>
      <c r="AK32" s="43"/>
      <c r="AL32" s="43"/>
      <c r="AM32" s="4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</row>
    <row r="33" spans="1:59">
      <c r="A33" s="65" t="s">
        <v>18</v>
      </c>
      <c r="B33" s="58">
        <f>DAYS360(MIN($C$3:$C$27),MAX($D$3:$D$27))</f>
        <v>23</v>
      </c>
      <c r="C33" s="41"/>
      <c r="D33" s="40"/>
      <c r="E33" s="51"/>
      <c r="F33" s="41"/>
      <c r="G33" s="41"/>
      <c r="H33" s="42"/>
      <c r="I33" s="37"/>
      <c r="J33" s="37"/>
      <c r="K33" s="37"/>
      <c r="L33" s="37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3"/>
      <c r="AH33" s="43"/>
      <c r="AI33" s="43"/>
      <c r="AJ33" s="43"/>
      <c r="AK33" s="43"/>
      <c r="AL33" s="43"/>
      <c r="AM33" s="4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</row>
    <row r="34" spans="1:59">
      <c r="A34" s="39"/>
      <c r="B34" s="44"/>
      <c r="C34" s="40"/>
      <c r="D34" s="40"/>
      <c r="E34" s="51"/>
      <c r="F34" s="41"/>
      <c r="G34" s="41"/>
      <c r="H34" s="42"/>
      <c r="I34" s="37"/>
      <c r="J34" s="38"/>
      <c r="K34" s="37"/>
      <c r="L34" s="37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3"/>
      <c r="AH34" s="43"/>
      <c r="AI34" s="43"/>
      <c r="AJ34" s="43"/>
      <c r="AK34" s="43"/>
      <c r="AL34" s="43"/>
      <c r="AM34" s="4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</row>
    <row r="35" spans="1:59">
      <c r="A35" s="39"/>
      <c r="B35" s="44"/>
      <c r="C35" s="40"/>
      <c r="D35" s="40"/>
      <c r="E35" s="51"/>
      <c r="F35" s="41"/>
      <c r="G35" s="41"/>
      <c r="H35" s="42"/>
      <c r="I35" s="37"/>
      <c r="J35" s="37"/>
      <c r="K35" s="37"/>
      <c r="L35" s="37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3"/>
      <c r="AH35" s="43"/>
      <c r="AI35" s="43"/>
      <c r="AJ35" s="43"/>
      <c r="AK35" s="43"/>
      <c r="AL35" s="43"/>
      <c r="AM35" s="4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</row>
    <row r="36" spans="1:59">
      <c r="A36" s="39"/>
      <c r="B36" s="44"/>
      <c r="C36" s="40"/>
      <c r="D36" s="40"/>
      <c r="E36" s="5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3"/>
      <c r="AH36" s="43"/>
      <c r="AI36" s="43"/>
      <c r="AJ36" s="43"/>
      <c r="AK36" s="43"/>
      <c r="AL36" s="43"/>
      <c r="AM36" s="4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</row>
    <row r="37" spans="1:59">
      <c r="A37" s="39"/>
      <c r="B37" s="44"/>
      <c r="C37" s="40"/>
      <c r="D37" s="40"/>
      <c r="E37" s="5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3"/>
      <c r="AH37" s="43"/>
      <c r="AI37" s="43"/>
      <c r="AJ37" s="43"/>
      <c r="AK37" s="43"/>
      <c r="AL37" s="43"/>
      <c r="AM37" s="4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</row>
    <row r="38" spans="1:59">
      <c r="A38" s="39"/>
      <c r="B38" s="44"/>
      <c r="C38" s="40"/>
      <c r="D38" s="40"/>
      <c r="E38" s="5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3"/>
      <c r="AH38" s="43"/>
      <c r="AI38" s="43"/>
      <c r="AJ38" s="43"/>
      <c r="AK38" s="43"/>
      <c r="AL38" s="43"/>
      <c r="AM38" s="4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</row>
    <row r="39" spans="1:59">
      <c r="A39" s="39"/>
      <c r="B39" s="44"/>
      <c r="C39" s="40"/>
      <c r="D39" s="40"/>
      <c r="E39" s="5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3"/>
      <c r="AH39" s="43"/>
      <c r="AI39" s="43"/>
      <c r="AJ39" s="43"/>
      <c r="AK39" s="43"/>
      <c r="AL39" s="43"/>
      <c r="AM39" s="4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</row>
    <row r="40" spans="1:59">
      <c r="A40" s="39"/>
      <c r="B40" s="44"/>
      <c r="C40" s="40"/>
      <c r="D40" s="40"/>
      <c r="E40" s="5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3"/>
      <c r="AH40" s="43"/>
      <c r="AI40" s="43"/>
      <c r="AJ40" s="43"/>
      <c r="AK40" s="43"/>
      <c r="AL40" s="43"/>
      <c r="AM40" s="4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</row>
    <row r="41" spans="1:59">
      <c r="A41" s="39"/>
      <c r="B41" s="44"/>
      <c r="C41" s="40"/>
      <c r="D41" s="40"/>
      <c r="E41" s="5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3"/>
      <c r="AH41" s="43"/>
      <c r="AI41" s="43"/>
      <c r="AJ41" s="43"/>
      <c r="AK41" s="43"/>
      <c r="AL41" s="43"/>
      <c r="AM41" s="4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</row>
    <row r="42" spans="1:59">
      <c r="A42" s="39"/>
      <c r="B42" s="44"/>
      <c r="C42" s="40"/>
      <c r="D42" s="40"/>
      <c r="E42" s="5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3"/>
      <c r="AH42" s="43"/>
      <c r="AI42" s="43"/>
      <c r="AJ42" s="43"/>
      <c r="AK42" s="43"/>
      <c r="AL42" s="43"/>
      <c r="AM42" s="4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</row>
    <row r="43" spans="1:59">
      <c r="A43" s="39"/>
      <c r="B43" s="44"/>
      <c r="C43" s="40"/>
      <c r="D43" s="40"/>
      <c r="E43" s="5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3"/>
      <c r="AH43" s="43"/>
      <c r="AI43" s="43"/>
      <c r="AJ43" s="43"/>
      <c r="AK43" s="43"/>
      <c r="AL43" s="43"/>
      <c r="AM43" s="4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</row>
    <row r="44" spans="1:59">
      <c r="A44" s="39"/>
      <c r="B44" s="44"/>
      <c r="C44" s="40"/>
      <c r="D44" s="40"/>
      <c r="E44" s="5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3"/>
      <c r="AH44" s="43"/>
      <c r="AI44" s="43"/>
      <c r="AJ44" s="43"/>
      <c r="AK44" s="43"/>
      <c r="AL44" s="43"/>
      <c r="AM44" s="4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</row>
    <row r="45" spans="1:59">
      <c r="A45" s="39"/>
      <c r="B45" s="44"/>
      <c r="C45" s="40"/>
      <c r="D45" s="40"/>
      <c r="E45" s="5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3"/>
      <c r="AH45" s="43"/>
      <c r="AI45" s="43"/>
      <c r="AJ45" s="43"/>
      <c r="AK45" s="43"/>
      <c r="AL45" s="43"/>
      <c r="AM45" s="4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</row>
    <row r="46" spans="1:59">
      <c r="A46" s="39"/>
      <c r="B46" s="44"/>
      <c r="C46" s="40"/>
      <c r="D46" s="40"/>
      <c r="E46" s="5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3"/>
      <c r="AH46" s="43"/>
      <c r="AI46" s="43"/>
      <c r="AJ46" s="43"/>
      <c r="AK46" s="43"/>
      <c r="AL46" s="43"/>
      <c r="AM46" s="4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</row>
    <row r="47" spans="1:59">
      <c r="A47" s="39"/>
      <c r="B47" s="44"/>
      <c r="C47" s="40"/>
      <c r="D47" s="40"/>
      <c r="E47" s="5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3"/>
      <c r="AH47" s="43"/>
      <c r="AI47" s="43"/>
      <c r="AJ47" s="43"/>
      <c r="AK47" s="43"/>
      <c r="AL47" s="43"/>
      <c r="AM47" s="4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</row>
    <row r="48" spans="1:59">
      <c r="A48" s="39"/>
      <c r="B48" s="44"/>
      <c r="C48" s="40"/>
      <c r="D48" s="40"/>
      <c r="E48" s="5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3"/>
      <c r="AH48" s="43"/>
      <c r="AI48" s="43"/>
      <c r="AJ48" s="43"/>
      <c r="AK48" s="43"/>
      <c r="AL48" s="43"/>
      <c r="AM48" s="4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</row>
    <row r="49" spans="1:59">
      <c r="A49" s="39"/>
      <c r="B49" s="44"/>
      <c r="C49" s="40"/>
      <c r="D49" s="40"/>
      <c r="E49" s="5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3"/>
      <c r="AH49" s="43"/>
      <c r="AI49" s="43"/>
      <c r="AJ49" s="43"/>
      <c r="AK49" s="43"/>
      <c r="AL49" s="43"/>
      <c r="AM49" s="4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</row>
    <row r="50" spans="1:59">
      <c r="A50" s="39"/>
      <c r="B50" s="44"/>
      <c r="C50" s="40"/>
      <c r="D50" s="40"/>
      <c r="E50" s="5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3"/>
      <c r="AH50" s="43"/>
      <c r="AI50" s="43"/>
      <c r="AJ50" s="43"/>
      <c r="AK50" s="43"/>
      <c r="AL50" s="43"/>
      <c r="AM50" s="4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</row>
    <row r="51" spans="1:59">
      <c r="A51" s="39"/>
      <c r="B51" s="44"/>
      <c r="C51" s="40"/>
      <c r="D51" s="40"/>
      <c r="E51" s="5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3"/>
      <c r="AH51" s="43"/>
      <c r="AI51" s="43"/>
      <c r="AJ51" s="43"/>
      <c r="AK51" s="43"/>
      <c r="AL51" s="43"/>
      <c r="AM51" s="4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</row>
    <row r="52" spans="1:59">
      <c r="A52" s="39"/>
      <c r="B52" s="44"/>
      <c r="C52" s="40"/>
      <c r="D52" s="40"/>
      <c r="E52" s="5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3"/>
      <c r="AH52" s="43"/>
      <c r="AI52" s="43"/>
      <c r="AJ52" s="43"/>
      <c r="AK52" s="43"/>
      <c r="AL52" s="43"/>
      <c r="AM52" s="4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</row>
    <row r="53" spans="1:59">
      <c r="A53" s="39"/>
      <c r="B53" s="44"/>
      <c r="C53" s="40"/>
      <c r="D53" s="40"/>
      <c r="E53" s="5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3"/>
      <c r="AH53" s="43"/>
      <c r="AI53" s="43"/>
      <c r="AJ53" s="43"/>
      <c r="AK53" s="43"/>
      <c r="AL53" s="43"/>
      <c r="AM53" s="4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</row>
    <row r="54" spans="1:59">
      <c r="A54" s="39"/>
      <c r="B54" s="44"/>
      <c r="C54" s="40"/>
      <c r="D54" s="40"/>
      <c r="E54" s="5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3"/>
      <c r="AG54" s="43"/>
      <c r="AH54" s="43"/>
      <c r="AI54" s="43"/>
      <c r="AJ54" s="43"/>
      <c r="AK54" s="43"/>
      <c r="AL54" s="43"/>
      <c r="AM54" s="4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</row>
    <row r="55" spans="1:59">
      <c r="A55" s="39"/>
      <c r="B55" s="44"/>
      <c r="C55" s="40"/>
      <c r="D55" s="40"/>
      <c r="E55" s="5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3"/>
      <c r="AG55" s="43"/>
      <c r="AH55" s="43"/>
      <c r="AI55" s="43"/>
      <c r="AJ55" s="43"/>
      <c r="AK55" s="43"/>
      <c r="AL55" s="43"/>
      <c r="AM55" s="4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</row>
    <row r="56" spans="1:59">
      <c r="A56" s="39"/>
      <c r="B56" s="44"/>
      <c r="C56" s="40"/>
      <c r="D56" s="40"/>
      <c r="E56" s="5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3"/>
      <c r="AG56" s="43"/>
      <c r="AH56" s="43"/>
      <c r="AI56" s="43"/>
      <c r="AJ56" s="43"/>
      <c r="AK56" s="43"/>
      <c r="AL56" s="43"/>
      <c r="AM56" s="4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</row>
    <row r="57" spans="1:59">
      <c r="A57" s="39"/>
      <c r="B57" s="44"/>
      <c r="C57" s="40"/>
      <c r="D57" s="40"/>
      <c r="E57" s="5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3"/>
      <c r="AG57" s="43"/>
      <c r="AH57" s="43"/>
      <c r="AI57" s="43"/>
      <c r="AJ57" s="43"/>
      <c r="AK57" s="43"/>
      <c r="AL57" s="43"/>
      <c r="AM57" s="4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</row>
    <row r="58" spans="1:59">
      <c r="A58" s="39"/>
      <c r="B58" s="44"/>
      <c r="C58" s="40"/>
      <c r="D58" s="40"/>
      <c r="E58" s="5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3"/>
      <c r="AG58" s="43"/>
      <c r="AH58" s="43"/>
      <c r="AI58" s="43"/>
      <c r="AJ58" s="43"/>
      <c r="AK58" s="43"/>
      <c r="AL58" s="43"/>
      <c r="AM58" s="4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</row>
    <row r="59" spans="1:59">
      <c r="A59" s="39"/>
      <c r="B59" s="44"/>
      <c r="C59" s="40"/>
      <c r="D59" s="40"/>
      <c r="E59" s="5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3"/>
      <c r="AG59" s="43"/>
      <c r="AH59" s="43"/>
      <c r="AI59" s="43"/>
      <c r="AJ59" s="43"/>
      <c r="AK59" s="43"/>
      <c r="AL59" s="43"/>
      <c r="AM59" s="4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</row>
    <row r="60" spans="1:59">
      <c r="A60" s="39"/>
      <c r="B60" s="44"/>
      <c r="C60" s="40"/>
      <c r="D60" s="40"/>
      <c r="E60" s="5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3"/>
      <c r="AG60" s="43"/>
      <c r="AH60" s="43"/>
      <c r="AI60" s="43"/>
      <c r="AJ60" s="43"/>
      <c r="AK60" s="43"/>
      <c r="AL60" s="43"/>
      <c r="AM60" s="4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</row>
    <row r="61" spans="1:59">
      <c r="A61" s="39"/>
      <c r="B61" s="44"/>
      <c r="C61" s="40"/>
      <c r="D61" s="40"/>
      <c r="E61" s="5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3"/>
      <c r="AG61" s="43"/>
      <c r="AH61" s="43"/>
      <c r="AI61" s="43"/>
      <c r="AJ61" s="43"/>
      <c r="AK61" s="43"/>
      <c r="AL61" s="43"/>
      <c r="AM61" s="4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</row>
    <row r="62" spans="1:59">
      <c r="A62" s="39"/>
      <c r="B62" s="44"/>
      <c r="C62" s="40"/>
      <c r="D62" s="40"/>
      <c r="E62" s="5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3"/>
      <c r="AG62" s="43"/>
      <c r="AH62" s="43"/>
      <c r="AI62" s="43"/>
      <c r="AJ62" s="43"/>
      <c r="AK62" s="43"/>
      <c r="AL62" s="43"/>
      <c r="AM62" s="4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</row>
    <row r="63" spans="1:59">
      <c r="A63" s="39"/>
      <c r="B63" s="44"/>
      <c r="C63" s="40"/>
      <c r="D63" s="40"/>
      <c r="E63" s="5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3"/>
      <c r="AG63" s="43"/>
      <c r="AH63" s="43"/>
      <c r="AI63" s="43"/>
      <c r="AJ63" s="43"/>
      <c r="AK63" s="43"/>
      <c r="AL63" s="43"/>
      <c r="AM63" s="4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</row>
    <row r="64" spans="1:59">
      <c r="A64" s="39"/>
      <c r="B64" s="44"/>
      <c r="C64" s="40"/>
      <c r="D64" s="40"/>
      <c r="E64" s="5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3"/>
      <c r="AG64" s="43"/>
      <c r="AH64" s="43"/>
      <c r="AI64" s="43"/>
      <c r="AJ64" s="43"/>
      <c r="AK64" s="43"/>
      <c r="AL64" s="43"/>
      <c r="AM64" s="4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</row>
    <row r="65" spans="1:59">
      <c r="A65" s="39"/>
      <c r="B65" s="44"/>
      <c r="C65" s="40"/>
      <c r="D65" s="40"/>
      <c r="E65" s="5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3"/>
      <c r="AG65" s="43"/>
      <c r="AH65" s="43"/>
      <c r="AI65" s="43"/>
      <c r="AJ65" s="43"/>
      <c r="AK65" s="43"/>
      <c r="AL65" s="43"/>
      <c r="AM65" s="4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</row>
    <row r="66" spans="1:59">
      <c r="A66" s="39"/>
      <c r="B66" s="44"/>
      <c r="C66" s="40"/>
      <c r="D66" s="40"/>
      <c r="E66" s="5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3"/>
      <c r="AG66" s="43"/>
      <c r="AH66" s="43"/>
      <c r="AI66" s="43"/>
      <c r="AJ66" s="43"/>
      <c r="AK66" s="43"/>
      <c r="AL66" s="43"/>
      <c r="AM66" s="4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</row>
    <row r="67" spans="1:59">
      <c r="A67" s="39"/>
      <c r="B67" s="44"/>
      <c r="C67" s="40"/>
      <c r="D67" s="40"/>
      <c r="E67" s="5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3"/>
      <c r="AG67" s="43"/>
      <c r="AH67" s="43"/>
      <c r="AI67" s="43"/>
      <c r="AJ67" s="43"/>
      <c r="AK67" s="43"/>
      <c r="AL67" s="43"/>
      <c r="AM67" s="4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</row>
    <row r="68" spans="1:59">
      <c r="A68" s="39"/>
      <c r="B68" s="44"/>
      <c r="C68" s="40"/>
      <c r="D68" s="40"/>
      <c r="E68" s="5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3"/>
      <c r="AG68" s="43"/>
      <c r="AH68" s="43"/>
      <c r="AI68" s="43"/>
      <c r="AJ68" s="43"/>
      <c r="AK68" s="43"/>
      <c r="AL68" s="43"/>
      <c r="AM68" s="4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</row>
    <row r="69" spans="1:59">
      <c r="A69" s="39"/>
      <c r="B69" s="44"/>
      <c r="C69" s="40"/>
      <c r="D69" s="40"/>
      <c r="E69" s="5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3"/>
      <c r="AG69" s="43"/>
      <c r="AH69" s="43"/>
      <c r="AI69" s="43"/>
      <c r="AJ69" s="43"/>
      <c r="AK69" s="43"/>
      <c r="AL69" s="43"/>
      <c r="AM69" s="4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</row>
    <row r="70" spans="1:59">
      <c r="A70" s="39"/>
      <c r="B70" s="44"/>
      <c r="C70" s="40"/>
      <c r="D70" s="40"/>
      <c r="E70" s="5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3"/>
      <c r="AG70" s="43"/>
      <c r="AH70" s="43"/>
      <c r="AI70" s="43"/>
      <c r="AJ70" s="43"/>
      <c r="AK70" s="43"/>
      <c r="AL70" s="43"/>
      <c r="AM70" s="4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</row>
    <row r="71" spans="1:59">
      <c r="A71" s="39"/>
      <c r="B71" s="44"/>
      <c r="C71" s="40"/>
      <c r="D71" s="40"/>
      <c r="E71" s="5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3"/>
      <c r="AG71" s="43"/>
      <c r="AH71" s="43"/>
      <c r="AI71" s="43"/>
      <c r="AJ71" s="43"/>
      <c r="AK71" s="43"/>
      <c r="AL71" s="43"/>
      <c r="AM71" s="4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</row>
    <row r="72" spans="1:59">
      <c r="A72" s="39"/>
      <c r="B72" s="44"/>
      <c r="C72" s="40"/>
      <c r="D72" s="40"/>
      <c r="E72" s="5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3"/>
      <c r="AG72" s="43"/>
      <c r="AH72" s="43"/>
      <c r="AI72" s="43"/>
      <c r="AJ72" s="43"/>
      <c r="AK72" s="43"/>
      <c r="AL72" s="43"/>
      <c r="AM72" s="4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</row>
    <row r="73" spans="1:59">
      <c r="A73" s="39"/>
      <c r="B73" s="44"/>
      <c r="C73" s="40"/>
      <c r="D73" s="40"/>
      <c r="E73" s="5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3"/>
      <c r="AH73" s="43"/>
      <c r="AI73" s="43"/>
      <c r="AJ73" s="43"/>
      <c r="AK73" s="43"/>
      <c r="AL73" s="43"/>
      <c r="AM73" s="4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</row>
    <row r="74" spans="1:59">
      <c r="A74" s="39"/>
      <c r="B74" s="44"/>
      <c r="C74" s="40"/>
      <c r="D74" s="40"/>
      <c r="E74" s="5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3"/>
      <c r="AG74" s="43"/>
      <c r="AH74" s="43"/>
      <c r="AI74" s="43"/>
      <c r="AJ74" s="43"/>
      <c r="AK74" s="43"/>
      <c r="AL74" s="43"/>
      <c r="AM74" s="4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</row>
    <row r="75" spans="1:59">
      <c r="A75" s="39"/>
      <c r="B75" s="44"/>
      <c r="C75" s="40"/>
      <c r="D75" s="40"/>
      <c r="E75" s="5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3"/>
      <c r="AH75" s="43"/>
      <c r="AI75" s="43"/>
      <c r="AJ75" s="43"/>
      <c r="AK75" s="43"/>
      <c r="AL75" s="43"/>
      <c r="AM75" s="4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</row>
    <row r="76" spans="1:59">
      <c r="A76" s="39"/>
      <c r="B76" s="44"/>
      <c r="C76" s="40"/>
      <c r="D76" s="40"/>
      <c r="E76" s="5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3"/>
      <c r="AH76" s="43"/>
      <c r="AI76" s="43"/>
      <c r="AJ76" s="43"/>
      <c r="AK76" s="43"/>
      <c r="AL76" s="43"/>
      <c r="AM76" s="4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</row>
    <row r="77" spans="1:59">
      <c r="A77" s="39"/>
      <c r="B77" s="44"/>
      <c r="C77" s="40"/>
      <c r="D77" s="40"/>
      <c r="E77" s="5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3"/>
      <c r="AH77" s="43"/>
      <c r="AI77" s="43"/>
      <c r="AJ77" s="43"/>
      <c r="AK77" s="43"/>
      <c r="AL77" s="43"/>
      <c r="AM77" s="4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</row>
    <row r="78" spans="1:59">
      <c r="A78" s="39"/>
      <c r="B78" s="44"/>
      <c r="C78" s="40"/>
      <c r="D78" s="40"/>
      <c r="E78" s="5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3"/>
      <c r="AH78" s="43"/>
      <c r="AI78" s="43"/>
      <c r="AJ78" s="43"/>
      <c r="AK78" s="43"/>
      <c r="AL78" s="43"/>
      <c r="AM78" s="4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</row>
    <row r="79" spans="1:59">
      <c r="A79" s="39"/>
      <c r="B79" s="44"/>
      <c r="C79" s="40"/>
      <c r="D79" s="40"/>
      <c r="E79" s="5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3"/>
      <c r="AH79" s="43"/>
      <c r="AI79" s="43"/>
      <c r="AJ79" s="43"/>
      <c r="AK79" s="43"/>
      <c r="AL79" s="43"/>
      <c r="AM79" s="4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</row>
    <row r="80" spans="1:59">
      <c r="A80" s="39"/>
      <c r="B80" s="44"/>
      <c r="C80" s="40"/>
      <c r="D80" s="40"/>
      <c r="E80" s="5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3"/>
      <c r="AH80" s="43"/>
      <c r="AI80" s="43"/>
      <c r="AJ80" s="43"/>
      <c r="AK80" s="43"/>
      <c r="AL80" s="43"/>
      <c r="AM80" s="4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</row>
    <row r="81" spans="1:59">
      <c r="A81" s="39"/>
      <c r="B81" s="44"/>
      <c r="C81" s="40"/>
      <c r="D81" s="40"/>
      <c r="E81" s="5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3"/>
      <c r="AH81" s="43"/>
      <c r="AI81" s="43"/>
      <c r="AJ81" s="43"/>
      <c r="AK81" s="43"/>
      <c r="AL81" s="43"/>
      <c r="AM81" s="4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</row>
    <row r="82" spans="1:59">
      <c r="A82" s="39"/>
      <c r="B82" s="44"/>
      <c r="C82" s="40"/>
      <c r="D82" s="40"/>
      <c r="E82" s="5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3"/>
      <c r="AG82" s="43"/>
      <c r="AH82" s="43"/>
      <c r="AI82" s="43"/>
      <c r="AJ82" s="43"/>
      <c r="AK82" s="43"/>
      <c r="AL82" s="43"/>
      <c r="AM82" s="4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</row>
    <row r="83" spans="1:59">
      <c r="A83" s="39"/>
      <c r="B83" s="44"/>
      <c r="C83" s="40"/>
      <c r="D83" s="40"/>
      <c r="E83" s="5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3"/>
      <c r="AH83" s="43"/>
      <c r="AI83" s="43"/>
      <c r="AJ83" s="43"/>
      <c r="AK83" s="43"/>
      <c r="AL83" s="43"/>
      <c r="AM83" s="4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</row>
    <row r="84" spans="1:59">
      <c r="A84" s="39"/>
      <c r="B84" s="44"/>
      <c r="C84" s="40"/>
      <c r="D84" s="40"/>
      <c r="E84" s="5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3"/>
      <c r="AH84" s="43"/>
      <c r="AI84" s="43"/>
      <c r="AJ84" s="43"/>
      <c r="AK84" s="43"/>
      <c r="AL84" s="43"/>
      <c r="AM84" s="4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</row>
    <row r="85" spans="1:59">
      <c r="A85" s="39"/>
      <c r="B85" s="44"/>
      <c r="C85" s="40"/>
      <c r="D85" s="40"/>
      <c r="E85" s="5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3"/>
      <c r="AH85" s="43"/>
      <c r="AI85" s="43"/>
      <c r="AJ85" s="43"/>
      <c r="AK85" s="43"/>
      <c r="AL85" s="43"/>
      <c r="AM85" s="4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</row>
    <row r="86" spans="1:59">
      <c r="A86" s="39"/>
      <c r="B86" s="44"/>
      <c r="C86" s="40"/>
      <c r="D86" s="40"/>
      <c r="E86" s="5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3"/>
      <c r="AH86" s="43"/>
      <c r="AI86" s="43"/>
      <c r="AJ86" s="43"/>
      <c r="AK86" s="43"/>
      <c r="AL86" s="43"/>
      <c r="AM86" s="4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</row>
    <row r="87" spans="1:59">
      <c r="A87" s="39"/>
      <c r="B87" s="44"/>
      <c r="C87" s="40"/>
      <c r="D87" s="40"/>
      <c r="E87" s="5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3"/>
      <c r="AH87" s="43"/>
      <c r="AI87" s="43"/>
      <c r="AJ87" s="43"/>
      <c r="AK87" s="43"/>
      <c r="AL87" s="43"/>
      <c r="AM87" s="4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</row>
    <row r="88" spans="1:59">
      <c r="A88" s="39"/>
      <c r="B88" s="44"/>
      <c r="C88" s="40"/>
      <c r="D88" s="40"/>
      <c r="E88" s="5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3"/>
      <c r="AH88" s="43"/>
      <c r="AI88" s="43"/>
      <c r="AJ88" s="43"/>
      <c r="AK88" s="43"/>
      <c r="AL88" s="43"/>
      <c r="AM88" s="4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</row>
    <row r="89" spans="1:59">
      <c r="A89" s="39"/>
      <c r="B89" s="44"/>
      <c r="C89" s="40"/>
      <c r="D89" s="40"/>
      <c r="E89" s="5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3"/>
      <c r="AH89" s="43"/>
      <c r="AI89" s="43"/>
      <c r="AJ89" s="43"/>
      <c r="AK89" s="43"/>
      <c r="AL89" s="43"/>
      <c r="AM89" s="4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</row>
    <row r="90" spans="1:59">
      <c r="A90" s="39"/>
      <c r="B90" s="44"/>
      <c r="C90" s="40"/>
      <c r="D90" s="40"/>
      <c r="E90" s="5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3"/>
      <c r="AH90" s="43"/>
      <c r="AI90" s="43"/>
      <c r="AJ90" s="43"/>
      <c r="AK90" s="43"/>
      <c r="AL90" s="43"/>
      <c r="AM90" s="4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</row>
    <row r="91" spans="1:59">
      <c r="A91" s="39"/>
      <c r="B91" s="44"/>
      <c r="C91" s="40"/>
      <c r="D91" s="40"/>
      <c r="E91" s="5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3"/>
      <c r="AH91" s="43"/>
      <c r="AI91" s="43"/>
      <c r="AJ91" s="43"/>
      <c r="AK91" s="43"/>
      <c r="AL91" s="43"/>
      <c r="AM91" s="4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</row>
    <row r="92" spans="1:59">
      <c r="A92" s="39"/>
      <c r="B92" s="44"/>
      <c r="C92" s="40"/>
      <c r="D92" s="40"/>
      <c r="E92" s="5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3"/>
      <c r="AH92" s="43"/>
      <c r="AI92" s="43"/>
      <c r="AJ92" s="43"/>
      <c r="AK92" s="43"/>
      <c r="AL92" s="43"/>
      <c r="AM92" s="4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</row>
    <row r="93" spans="1:59">
      <c r="A93" s="39"/>
      <c r="B93" s="44"/>
      <c r="C93" s="40"/>
      <c r="D93" s="40"/>
      <c r="E93" s="5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3"/>
      <c r="AH93" s="43"/>
      <c r="AI93" s="43"/>
      <c r="AJ93" s="43"/>
      <c r="AK93" s="43"/>
      <c r="AL93" s="43"/>
      <c r="AM93" s="4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</row>
    <row r="94" spans="1:59">
      <c r="A94" s="39"/>
      <c r="B94" s="44"/>
      <c r="C94" s="40"/>
      <c r="D94" s="40"/>
      <c r="E94" s="5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3"/>
      <c r="AH94" s="43"/>
      <c r="AI94" s="43"/>
      <c r="AJ94" s="43"/>
      <c r="AK94" s="43"/>
      <c r="AL94" s="43"/>
      <c r="AM94" s="4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</row>
    <row r="95" spans="1:59">
      <c r="A95" s="39"/>
      <c r="B95" s="44"/>
      <c r="C95" s="40"/>
      <c r="D95" s="40"/>
      <c r="E95" s="5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3"/>
      <c r="AH95" s="43"/>
      <c r="AI95" s="43"/>
      <c r="AJ95" s="43"/>
      <c r="AK95" s="43"/>
      <c r="AL95" s="43"/>
      <c r="AM95" s="4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</row>
    <row r="96" spans="1:59">
      <c r="A96" s="39"/>
      <c r="B96" s="44"/>
      <c r="C96" s="40"/>
      <c r="D96" s="40"/>
      <c r="E96" s="5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3"/>
      <c r="AH96" s="43"/>
      <c r="AI96" s="43"/>
      <c r="AJ96" s="43"/>
      <c r="AK96" s="43"/>
      <c r="AL96" s="43"/>
      <c r="AM96" s="4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</row>
    <row r="97" spans="1:59">
      <c r="A97" s="39"/>
      <c r="B97" s="44"/>
      <c r="C97" s="40"/>
      <c r="D97" s="40"/>
      <c r="E97" s="5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3"/>
      <c r="AH97" s="43"/>
      <c r="AI97" s="43"/>
      <c r="AJ97" s="43"/>
      <c r="AK97" s="43"/>
      <c r="AL97" s="43"/>
      <c r="AM97" s="4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</row>
    <row r="98" spans="1:59">
      <c r="A98" s="39"/>
      <c r="B98" s="44"/>
      <c r="C98" s="40"/>
      <c r="D98" s="40"/>
      <c r="E98" s="5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3"/>
      <c r="AH98" s="43"/>
      <c r="AI98" s="43"/>
      <c r="AJ98" s="43"/>
      <c r="AK98" s="43"/>
      <c r="AL98" s="43"/>
      <c r="AM98" s="4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</row>
    <row r="99" spans="1:59">
      <c r="A99" s="39"/>
      <c r="B99" s="44"/>
      <c r="C99" s="40"/>
      <c r="D99" s="40"/>
      <c r="E99" s="5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3"/>
      <c r="AH99" s="43"/>
      <c r="AI99" s="43"/>
      <c r="AJ99" s="43"/>
      <c r="AK99" s="43"/>
      <c r="AL99" s="43"/>
      <c r="AM99" s="4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</row>
    <row r="100" spans="1:59">
      <c r="A100" s="39"/>
      <c r="B100" s="44"/>
      <c r="C100" s="40"/>
      <c r="D100" s="40"/>
      <c r="E100" s="5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3"/>
      <c r="AH100" s="43"/>
      <c r="AI100" s="43"/>
      <c r="AJ100" s="43"/>
      <c r="AK100" s="43"/>
      <c r="AL100" s="43"/>
      <c r="AM100" s="4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</row>
    <row r="101" spans="1:59">
      <c r="A101" s="39"/>
      <c r="B101" s="44"/>
      <c r="C101" s="40"/>
      <c r="D101" s="40"/>
      <c r="E101" s="5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3"/>
      <c r="AH101" s="43"/>
      <c r="AI101" s="43"/>
      <c r="AJ101" s="43"/>
      <c r="AK101" s="43"/>
      <c r="AL101" s="43"/>
      <c r="AM101" s="4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</row>
    <row r="102" spans="1:59">
      <c r="A102" s="39"/>
      <c r="B102" s="44"/>
      <c r="C102" s="40"/>
      <c r="D102" s="40"/>
      <c r="E102" s="5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3"/>
      <c r="AH102" s="43"/>
      <c r="AI102" s="43"/>
      <c r="AJ102" s="43"/>
      <c r="AK102" s="43"/>
      <c r="AL102" s="43"/>
      <c r="AM102" s="4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</row>
    <row r="103" spans="1:59">
      <c r="A103" s="39"/>
      <c r="B103" s="44"/>
      <c r="C103" s="40"/>
      <c r="D103" s="40"/>
      <c r="E103" s="5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3"/>
      <c r="AH103" s="43"/>
      <c r="AI103" s="43"/>
      <c r="AJ103" s="43"/>
      <c r="AK103" s="43"/>
      <c r="AL103" s="43"/>
      <c r="AM103" s="4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59">
      <c r="A104" s="39"/>
      <c r="B104" s="44"/>
      <c r="C104" s="40"/>
      <c r="D104" s="40"/>
      <c r="E104" s="5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3"/>
      <c r="AH104" s="43"/>
      <c r="AI104" s="43"/>
      <c r="AJ104" s="43"/>
      <c r="AK104" s="43"/>
      <c r="AL104" s="43"/>
      <c r="AM104" s="4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59">
      <c r="A105" s="39"/>
      <c r="B105" s="44"/>
      <c r="C105" s="40"/>
      <c r="D105" s="40"/>
      <c r="E105" s="5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3"/>
      <c r="AH105" s="43"/>
      <c r="AI105" s="43"/>
      <c r="AJ105" s="43"/>
      <c r="AK105" s="43"/>
      <c r="AL105" s="43"/>
      <c r="AM105" s="4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59">
      <c r="A106" s="39"/>
      <c r="B106" s="44"/>
      <c r="C106" s="40"/>
      <c r="D106" s="40"/>
      <c r="E106" s="5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3"/>
      <c r="AH106" s="43"/>
      <c r="AI106" s="43"/>
      <c r="AJ106" s="43"/>
      <c r="AK106" s="43"/>
      <c r="AL106" s="43"/>
      <c r="AM106" s="4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59">
      <c r="A107" s="39"/>
      <c r="B107" s="44"/>
      <c r="C107" s="40"/>
      <c r="D107" s="40"/>
      <c r="E107" s="5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3"/>
      <c r="AH107" s="43"/>
      <c r="AI107" s="43"/>
      <c r="AJ107" s="43"/>
      <c r="AK107" s="43"/>
      <c r="AL107" s="43"/>
      <c r="AM107" s="4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59">
      <c r="A108" s="39"/>
      <c r="B108" s="44"/>
      <c r="C108" s="40"/>
      <c r="D108" s="40"/>
      <c r="E108" s="5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3"/>
      <c r="AH108" s="43"/>
      <c r="AI108" s="43"/>
      <c r="AJ108" s="43"/>
      <c r="AK108" s="43"/>
      <c r="AL108" s="43"/>
      <c r="AM108" s="4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59">
      <c r="A109" s="39"/>
      <c r="B109" s="44"/>
      <c r="C109" s="40"/>
      <c r="D109" s="40"/>
      <c r="E109" s="5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3"/>
      <c r="AH109" s="43"/>
      <c r="AI109" s="43"/>
      <c r="AJ109" s="43"/>
      <c r="AK109" s="43"/>
      <c r="AL109" s="43"/>
      <c r="AM109" s="4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59">
      <c r="A110" s="39"/>
      <c r="B110" s="44"/>
      <c r="C110" s="40"/>
      <c r="D110" s="40"/>
      <c r="E110" s="5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3"/>
      <c r="AH110" s="43"/>
      <c r="AI110" s="43"/>
      <c r="AJ110" s="43"/>
      <c r="AK110" s="43"/>
      <c r="AL110" s="43"/>
      <c r="AM110" s="4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59">
      <c r="A111" s="39"/>
      <c r="B111" s="44"/>
      <c r="C111" s="40"/>
      <c r="D111" s="40"/>
      <c r="E111" s="5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3"/>
      <c r="AH111" s="43"/>
      <c r="AI111" s="43"/>
      <c r="AJ111" s="43"/>
      <c r="AK111" s="43"/>
      <c r="AL111" s="43"/>
      <c r="AM111" s="4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59">
      <c r="A112" s="39"/>
      <c r="B112" s="44"/>
      <c r="C112" s="40"/>
      <c r="D112" s="40"/>
      <c r="E112" s="5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3"/>
      <c r="AH112" s="43"/>
      <c r="AI112" s="43"/>
      <c r="AJ112" s="43"/>
      <c r="AK112" s="43"/>
      <c r="AL112" s="43"/>
      <c r="AM112" s="4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:59">
      <c r="A113" s="39"/>
      <c r="B113" s="44"/>
      <c r="C113" s="40"/>
      <c r="D113" s="40"/>
      <c r="E113" s="5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3"/>
      <c r="AH113" s="43"/>
      <c r="AI113" s="43"/>
      <c r="AJ113" s="43"/>
      <c r="AK113" s="43"/>
      <c r="AL113" s="43"/>
      <c r="AM113" s="4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:59">
      <c r="A114" s="39"/>
      <c r="B114" s="44"/>
      <c r="C114" s="40"/>
      <c r="D114" s="40"/>
      <c r="E114" s="5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3"/>
      <c r="AH114" s="43"/>
      <c r="AI114" s="43"/>
      <c r="AJ114" s="43"/>
      <c r="AK114" s="43"/>
      <c r="AL114" s="43"/>
      <c r="AM114" s="4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:59">
      <c r="A115" s="39"/>
      <c r="B115" s="44"/>
      <c r="C115" s="40"/>
      <c r="D115" s="40"/>
      <c r="E115" s="5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3"/>
      <c r="AH115" s="43"/>
      <c r="AI115" s="43"/>
      <c r="AJ115" s="43"/>
      <c r="AK115" s="43"/>
      <c r="AL115" s="43"/>
      <c r="AM115" s="4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:59">
      <c r="A116" s="39"/>
      <c r="B116" s="44"/>
      <c r="C116" s="40"/>
      <c r="D116" s="40"/>
      <c r="E116" s="5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3"/>
      <c r="AH116" s="43"/>
      <c r="AI116" s="43"/>
      <c r="AJ116" s="43"/>
      <c r="AK116" s="43"/>
      <c r="AL116" s="43"/>
      <c r="AM116" s="4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:59">
      <c r="A117" s="39"/>
      <c r="B117" s="44"/>
      <c r="C117" s="40"/>
      <c r="D117" s="40"/>
      <c r="E117" s="5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3"/>
      <c r="AH117" s="43"/>
      <c r="AI117" s="43"/>
      <c r="AJ117" s="43"/>
      <c r="AK117" s="43"/>
      <c r="AL117" s="43"/>
      <c r="AM117" s="4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:59">
      <c r="A118" s="39"/>
      <c r="B118" s="44"/>
      <c r="C118" s="40"/>
      <c r="D118" s="40"/>
      <c r="E118" s="5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3"/>
      <c r="AH118" s="43"/>
      <c r="AI118" s="43"/>
      <c r="AJ118" s="43"/>
      <c r="AK118" s="43"/>
      <c r="AL118" s="43"/>
      <c r="AM118" s="4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:59">
      <c r="A119" s="39"/>
      <c r="B119" s="44"/>
      <c r="C119" s="40"/>
      <c r="D119" s="40"/>
      <c r="E119" s="5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3"/>
      <c r="AH119" s="43"/>
      <c r="AI119" s="43"/>
      <c r="AJ119" s="43"/>
      <c r="AK119" s="43"/>
      <c r="AL119" s="43"/>
      <c r="AM119" s="4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:59">
      <c r="A120" s="39"/>
      <c r="B120" s="44"/>
      <c r="C120" s="40"/>
      <c r="D120" s="40"/>
      <c r="E120" s="5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3"/>
      <c r="AH120" s="43"/>
      <c r="AI120" s="43"/>
      <c r="AJ120" s="43"/>
      <c r="AK120" s="43"/>
      <c r="AL120" s="43"/>
      <c r="AM120" s="4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:59">
      <c r="A121" s="39"/>
      <c r="B121" s="44"/>
      <c r="C121" s="40"/>
      <c r="D121" s="40"/>
      <c r="E121" s="5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3"/>
      <c r="AH121" s="43"/>
      <c r="AI121" s="43"/>
      <c r="AJ121" s="43"/>
      <c r="AK121" s="43"/>
      <c r="AL121" s="43"/>
      <c r="AM121" s="4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:59">
      <c r="A122" s="39"/>
      <c r="B122" s="44"/>
      <c r="C122" s="40"/>
      <c r="D122" s="40"/>
      <c r="E122" s="5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3"/>
      <c r="AH122" s="43"/>
      <c r="AI122" s="43"/>
      <c r="AJ122" s="43"/>
      <c r="AK122" s="43"/>
      <c r="AL122" s="43"/>
      <c r="AM122" s="4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:59">
      <c r="A123" s="39"/>
      <c r="B123" s="44"/>
      <c r="C123" s="40"/>
      <c r="D123" s="40"/>
      <c r="E123" s="5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3"/>
      <c r="AH123" s="43"/>
      <c r="AI123" s="43"/>
      <c r="AJ123" s="43"/>
      <c r="AK123" s="43"/>
      <c r="AL123" s="43"/>
      <c r="AM123" s="4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:59">
      <c r="A124" s="39"/>
      <c r="B124" s="44"/>
      <c r="C124" s="40"/>
      <c r="D124" s="40"/>
      <c r="E124" s="5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3"/>
      <c r="AH124" s="43"/>
      <c r="AI124" s="43"/>
      <c r="AJ124" s="43"/>
      <c r="AK124" s="43"/>
      <c r="AL124" s="43"/>
      <c r="AM124" s="4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:59">
      <c r="A125" s="39"/>
      <c r="B125" s="44"/>
      <c r="C125" s="40"/>
      <c r="D125" s="40"/>
      <c r="E125" s="5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3"/>
      <c r="AH125" s="43"/>
      <c r="AI125" s="43"/>
      <c r="AJ125" s="43"/>
      <c r="AK125" s="43"/>
      <c r="AL125" s="43"/>
      <c r="AM125" s="4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:59">
      <c r="A126" s="39"/>
      <c r="B126" s="44"/>
      <c r="C126" s="40"/>
      <c r="D126" s="40"/>
      <c r="E126" s="5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3"/>
      <c r="AH126" s="43"/>
      <c r="AI126" s="43"/>
      <c r="AJ126" s="43"/>
      <c r="AK126" s="43"/>
      <c r="AL126" s="43"/>
      <c r="AM126" s="4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:59">
      <c r="A127" s="39"/>
      <c r="B127" s="44"/>
      <c r="C127" s="40"/>
      <c r="D127" s="40"/>
      <c r="E127" s="5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3"/>
      <c r="AH127" s="43"/>
      <c r="AI127" s="43"/>
      <c r="AJ127" s="43"/>
      <c r="AK127" s="43"/>
      <c r="AL127" s="43"/>
      <c r="AM127" s="4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:59">
      <c r="A128" s="39"/>
      <c r="B128" s="44"/>
      <c r="C128" s="40"/>
      <c r="D128" s="40"/>
      <c r="E128" s="5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3"/>
      <c r="AH128" s="43"/>
      <c r="AI128" s="43"/>
      <c r="AJ128" s="43"/>
      <c r="AK128" s="43"/>
      <c r="AL128" s="43"/>
      <c r="AM128" s="4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:59">
      <c r="A129" s="39"/>
      <c r="B129" s="44"/>
      <c r="C129" s="40"/>
      <c r="D129" s="40"/>
      <c r="E129" s="5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3"/>
      <c r="AH129" s="43"/>
      <c r="AI129" s="43"/>
      <c r="AJ129" s="43"/>
      <c r="AK129" s="43"/>
      <c r="AL129" s="43"/>
      <c r="AM129" s="4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:59">
      <c r="A130" s="39"/>
      <c r="B130" s="44"/>
      <c r="C130" s="40"/>
      <c r="D130" s="40"/>
      <c r="E130" s="5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3"/>
      <c r="AH130" s="43"/>
      <c r="AI130" s="43"/>
      <c r="AJ130" s="43"/>
      <c r="AK130" s="43"/>
      <c r="AL130" s="43"/>
      <c r="AM130" s="4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</row>
    <row r="131" spans="1:59">
      <c r="A131" s="39"/>
      <c r="B131" s="44"/>
      <c r="C131" s="40"/>
      <c r="D131" s="40"/>
      <c r="E131" s="5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3"/>
      <c r="AH131" s="43"/>
      <c r="AI131" s="43"/>
      <c r="AJ131" s="43"/>
      <c r="AK131" s="43"/>
      <c r="AL131" s="43"/>
      <c r="AM131" s="4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</row>
    <row r="132" spans="1:59">
      <c r="A132" s="39"/>
      <c r="B132" s="44"/>
      <c r="C132" s="40"/>
      <c r="D132" s="40"/>
      <c r="E132" s="5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3"/>
      <c r="AH132" s="43"/>
      <c r="AI132" s="43"/>
      <c r="AJ132" s="43"/>
      <c r="AK132" s="43"/>
      <c r="AL132" s="43"/>
      <c r="AM132" s="4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</row>
    <row r="133" spans="1:59">
      <c r="A133" s="39"/>
      <c r="B133" s="44"/>
      <c r="C133" s="40"/>
      <c r="D133" s="40"/>
      <c r="E133" s="5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3"/>
      <c r="AH133" s="43"/>
      <c r="AI133" s="43"/>
      <c r="AJ133" s="43"/>
      <c r="AK133" s="43"/>
      <c r="AL133" s="43"/>
      <c r="AM133" s="4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</row>
    <row r="134" spans="1:59">
      <c r="A134" s="39"/>
      <c r="B134" s="44"/>
      <c r="C134" s="40"/>
      <c r="D134" s="40"/>
      <c r="E134" s="5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3"/>
      <c r="AH134" s="43"/>
      <c r="AI134" s="43"/>
      <c r="AJ134" s="43"/>
      <c r="AK134" s="43"/>
      <c r="AL134" s="43"/>
      <c r="AM134" s="4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</row>
    <row r="135" spans="1:59">
      <c r="A135" s="39"/>
      <c r="B135" s="44"/>
      <c r="C135" s="40"/>
      <c r="D135" s="40"/>
      <c r="E135" s="5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3"/>
      <c r="AH135" s="43"/>
      <c r="AI135" s="43"/>
      <c r="AJ135" s="43"/>
      <c r="AK135" s="43"/>
      <c r="AL135" s="43"/>
      <c r="AM135" s="4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</row>
    <row r="136" spans="1:59">
      <c r="A136" s="39"/>
      <c r="B136" s="44"/>
      <c r="C136" s="40"/>
      <c r="D136" s="40"/>
      <c r="E136" s="5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3"/>
      <c r="AH136" s="43"/>
      <c r="AI136" s="43"/>
      <c r="AJ136" s="43"/>
      <c r="AK136" s="43"/>
      <c r="AL136" s="43"/>
      <c r="AM136" s="4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</row>
    <row r="137" spans="1:59">
      <c r="A137" s="39"/>
      <c r="B137" s="44"/>
      <c r="C137" s="40"/>
      <c r="D137" s="40"/>
      <c r="E137" s="5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3"/>
      <c r="AH137" s="43"/>
      <c r="AI137" s="43"/>
      <c r="AJ137" s="43"/>
      <c r="AK137" s="43"/>
      <c r="AL137" s="43"/>
      <c r="AM137" s="4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</row>
    <row r="138" spans="1:59">
      <c r="A138" s="39"/>
      <c r="B138" s="44"/>
      <c r="C138" s="40"/>
      <c r="D138" s="40"/>
      <c r="E138" s="5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3"/>
      <c r="AH138" s="43"/>
      <c r="AI138" s="43"/>
      <c r="AJ138" s="43"/>
      <c r="AK138" s="43"/>
      <c r="AL138" s="43"/>
      <c r="AM138" s="4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</row>
    <row r="139" spans="1:59">
      <c r="A139" s="39"/>
      <c r="B139" s="44"/>
      <c r="C139" s="40"/>
      <c r="D139" s="40"/>
      <c r="E139" s="5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3"/>
      <c r="AH139" s="43"/>
      <c r="AI139" s="43"/>
      <c r="AJ139" s="43"/>
      <c r="AK139" s="43"/>
      <c r="AL139" s="43"/>
      <c r="AM139" s="4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</row>
    <row r="140" spans="1:59">
      <c r="A140" s="39"/>
      <c r="B140" s="44"/>
      <c r="C140" s="40"/>
      <c r="D140" s="40"/>
      <c r="E140" s="5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3"/>
      <c r="AH140" s="43"/>
      <c r="AI140" s="43"/>
      <c r="AJ140" s="43"/>
      <c r="AK140" s="43"/>
      <c r="AL140" s="43"/>
      <c r="AM140" s="4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</row>
    <row r="141" spans="1:59">
      <c r="A141" s="39"/>
      <c r="B141" s="44"/>
      <c r="C141" s="40"/>
      <c r="D141" s="40"/>
      <c r="E141" s="5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3"/>
      <c r="AH141" s="43"/>
      <c r="AI141" s="43"/>
      <c r="AJ141" s="43"/>
      <c r="AK141" s="43"/>
      <c r="AL141" s="43"/>
      <c r="AM141" s="4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</row>
    <row r="142" spans="1:59">
      <c r="A142" s="39"/>
      <c r="B142" s="44"/>
      <c r="C142" s="40"/>
      <c r="D142" s="40"/>
      <c r="E142" s="5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3"/>
      <c r="AH142" s="43"/>
      <c r="AI142" s="43"/>
      <c r="AJ142" s="43"/>
      <c r="AK142" s="43"/>
      <c r="AL142" s="43"/>
      <c r="AM142" s="4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</row>
    <row r="143" spans="1:59">
      <c r="A143" s="39"/>
      <c r="B143" s="44"/>
      <c r="C143" s="40"/>
      <c r="D143" s="40"/>
      <c r="E143" s="5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3"/>
      <c r="AH143" s="43"/>
      <c r="AI143" s="43"/>
      <c r="AJ143" s="43"/>
      <c r="AK143" s="43"/>
      <c r="AL143" s="43"/>
      <c r="AM143" s="4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</row>
    <row r="144" spans="1:59">
      <c r="A144" s="39"/>
      <c r="B144" s="44"/>
      <c r="C144" s="40"/>
      <c r="D144" s="40"/>
      <c r="E144" s="5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3"/>
      <c r="AH144" s="43"/>
      <c r="AI144" s="43"/>
      <c r="AJ144" s="43"/>
      <c r="AK144" s="43"/>
      <c r="AL144" s="43"/>
      <c r="AM144" s="4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</row>
    <row r="145" spans="1:59">
      <c r="A145" s="39"/>
      <c r="B145" s="44"/>
      <c r="C145" s="40"/>
      <c r="D145" s="40"/>
      <c r="E145" s="5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3"/>
      <c r="AH145" s="43"/>
      <c r="AI145" s="43"/>
      <c r="AJ145" s="43"/>
      <c r="AK145" s="43"/>
      <c r="AL145" s="43"/>
      <c r="AM145" s="4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</row>
    <row r="146" spans="1:59">
      <c r="A146" s="39"/>
      <c r="B146" s="44"/>
      <c r="C146" s="40"/>
      <c r="D146" s="40"/>
      <c r="E146" s="5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3"/>
      <c r="AH146" s="43"/>
      <c r="AI146" s="43"/>
      <c r="AJ146" s="43"/>
      <c r="AK146" s="43"/>
      <c r="AL146" s="43"/>
      <c r="AM146" s="4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</row>
    <row r="147" spans="1:59">
      <c r="A147" s="39"/>
      <c r="B147" s="44"/>
      <c r="C147" s="40"/>
      <c r="D147" s="40"/>
      <c r="E147" s="5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3"/>
      <c r="AH147" s="43"/>
      <c r="AI147" s="43"/>
      <c r="AJ147" s="43"/>
      <c r="AK147" s="43"/>
      <c r="AL147" s="43"/>
      <c r="AM147" s="4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</row>
    <row r="148" spans="1:59">
      <c r="A148" s="39"/>
      <c r="B148" s="44"/>
      <c r="C148" s="40"/>
      <c r="D148" s="40"/>
      <c r="E148" s="5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3"/>
      <c r="AH148" s="43"/>
      <c r="AI148" s="43"/>
      <c r="AJ148" s="43"/>
      <c r="AK148" s="43"/>
      <c r="AL148" s="43"/>
      <c r="AM148" s="4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</row>
    <row r="149" spans="1:59">
      <c r="A149" s="39"/>
      <c r="B149" s="44"/>
      <c r="C149" s="40"/>
      <c r="D149" s="40"/>
      <c r="E149" s="5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3"/>
      <c r="AH149" s="43"/>
      <c r="AI149" s="43"/>
      <c r="AJ149" s="43"/>
      <c r="AK149" s="43"/>
      <c r="AL149" s="43"/>
      <c r="AM149" s="4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</row>
    <row r="150" spans="1:59">
      <c r="A150" s="39"/>
      <c r="B150" s="44"/>
      <c r="C150" s="40"/>
      <c r="D150" s="40"/>
      <c r="E150" s="5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3"/>
      <c r="AH150" s="43"/>
      <c r="AI150" s="43"/>
      <c r="AJ150" s="43"/>
      <c r="AK150" s="43"/>
      <c r="AL150" s="43"/>
      <c r="AM150" s="4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</row>
    <row r="151" spans="1:59">
      <c r="A151" s="39"/>
      <c r="B151" s="44"/>
      <c r="C151" s="40"/>
      <c r="D151" s="40"/>
      <c r="E151" s="5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3"/>
      <c r="AH151" s="43"/>
      <c r="AI151" s="43"/>
      <c r="AJ151" s="43"/>
      <c r="AK151" s="43"/>
      <c r="AL151" s="43"/>
      <c r="AM151" s="4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</row>
    <row r="152" spans="1:59">
      <c r="A152" s="39"/>
      <c r="B152" s="44"/>
      <c r="C152" s="40"/>
      <c r="D152" s="40"/>
      <c r="E152" s="5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3"/>
      <c r="AH152" s="43"/>
      <c r="AI152" s="43"/>
      <c r="AJ152" s="43"/>
      <c r="AK152" s="43"/>
      <c r="AL152" s="43"/>
      <c r="AM152" s="4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</row>
    <row r="153" spans="1:59">
      <c r="A153" s="39"/>
      <c r="B153" s="44"/>
      <c r="C153" s="40"/>
      <c r="D153" s="40"/>
      <c r="E153" s="5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3"/>
      <c r="AH153" s="43"/>
      <c r="AI153" s="43"/>
      <c r="AJ153" s="43"/>
      <c r="AK153" s="43"/>
      <c r="AL153" s="43"/>
      <c r="AM153" s="4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</row>
    <row r="154" spans="1:59">
      <c r="A154" s="39"/>
      <c r="B154" s="44"/>
      <c r="C154" s="40"/>
      <c r="D154" s="40"/>
      <c r="E154" s="5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3"/>
      <c r="AH154" s="43"/>
      <c r="AI154" s="43"/>
      <c r="AJ154" s="43"/>
      <c r="AK154" s="43"/>
      <c r="AL154" s="43"/>
      <c r="AM154" s="4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</row>
    <row r="155" spans="1:59">
      <c r="A155" s="39"/>
      <c r="B155" s="44"/>
      <c r="C155" s="40"/>
      <c r="D155" s="40"/>
      <c r="E155" s="5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3"/>
      <c r="AH155" s="43"/>
      <c r="AI155" s="43"/>
      <c r="AJ155" s="43"/>
      <c r="AK155" s="43"/>
      <c r="AL155" s="43"/>
      <c r="AM155" s="4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</row>
    <row r="156" spans="1:59">
      <c r="A156" s="39"/>
      <c r="B156" s="44"/>
      <c r="C156" s="40"/>
      <c r="D156" s="40"/>
      <c r="E156" s="5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3"/>
      <c r="AH156" s="43"/>
      <c r="AI156" s="43"/>
      <c r="AJ156" s="43"/>
      <c r="AK156" s="43"/>
      <c r="AL156" s="43"/>
      <c r="AM156" s="4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</row>
    <row r="157" spans="1:59">
      <c r="A157" s="39"/>
      <c r="B157" s="44"/>
      <c r="C157" s="40"/>
      <c r="D157" s="40"/>
      <c r="E157" s="5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3"/>
      <c r="AH157" s="43"/>
      <c r="AI157" s="43"/>
      <c r="AJ157" s="43"/>
      <c r="AK157" s="43"/>
      <c r="AL157" s="43"/>
      <c r="AM157" s="4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</row>
    <row r="158" spans="1:59">
      <c r="A158" s="39"/>
      <c r="B158" s="44"/>
      <c r="C158" s="40"/>
      <c r="D158" s="40"/>
      <c r="E158" s="5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3"/>
      <c r="AH158" s="43"/>
      <c r="AI158" s="43"/>
      <c r="AJ158" s="43"/>
      <c r="AK158" s="43"/>
      <c r="AL158" s="43"/>
      <c r="AM158" s="4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</row>
    <row r="159" spans="1:59">
      <c r="A159" s="39"/>
      <c r="B159" s="44"/>
      <c r="C159" s="40"/>
      <c r="D159" s="40"/>
      <c r="E159" s="5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3"/>
      <c r="AH159" s="43"/>
      <c r="AI159" s="43"/>
      <c r="AJ159" s="43"/>
      <c r="AK159" s="43"/>
      <c r="AL159" s="43"/>
      <c r="AM159" s="4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</row>
    <row r="160" spans="1:59">
      <c r="A160" s="39"/>
      <c r="B160" s="44"/>
      <c r="C160" s="40"/>
      <c r="D160" s="40"/>
      <c r="E160" s="5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3"/>
      <c r="AH160" s="43"/>
      <c r="AI160" s="43"/>
      <c r="AJ160" s="43"/>
      <c r="AK160" s="43"/>
      <c r="AL160" s="43"/>
      <c r="AM160" s="4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</row>
    <row r="161" spans="1:59">
      <c r="A161" s="39"/>
      <c r="B161" s="44"/>
      <c r="C161" s="40"/>
      <c r="D161" s="40"/>
      <c r="E161" s="5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3"/>
      <c r="AH161" s="43"/>
      <c r="AI161" s="43"/>
      <c r="AJ161" s="43"/>
      <c r="AK161" s="43"/>
      <c r="AL161" s="43"/>
      <c r="AM161" s="4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</row>
    <row r="162" spans="1:59">
      <c r="A162" s="39"/>
      <c r="B162" s="44"/>
      <c r="C162" s="40"/>
      <c r="D162" s="40"/>
      <c r="E162" s="5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3"/>
      <c r="AH162" s="43"/>
      <c r="AI162" s="43"/>
      <c r="AJ162" s="43"/>
      <c r="AK162" s="43"/>
      <c r="AL162" s="43"/>
      <c r="AM162" s="4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</row>
    <row r="163" spans="1:59">
      <c r="A163" s="39"/>
      <c r="B163" s="44"/>
      <c r="C163" s="40"/>
      <c r="D163" s="40"/>
      <c r="E163" s="5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3"/>
      <c r="AH163" s="43"/>
      <c r="AI163" s="43"/>
      <c r="AJ163" s="43"/>
      <c r="AK163" s="43"/>
      <c r="AL163" s="43"/>
      <c r="AM163" s="4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</row>
    <row r="164" spans="1:59">
      <c r="A164" s="39"/>
      <c r="B164" s="44"/>
      <c r="C164" s="40"/>
      <c r="D164" s="40"/>
      <c r="E164" s="5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/>
      <c r="AM164" s="4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</row>
    <row r="165" spans="1:59">
      <c r="A165" s="39"/>
      <c r="B165" s="44"/>
      <c r="C165" s="40"/>
      <c r="D165" s="40"/>
      <c r="E165" s="5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3"/>
      <c r="AH165" s="43"/>
      <c r="AI165" s="43"/>
      <c r="AJ165" s="43"/>
      <c r="AK165" s="43"/>
      <c r="AL165" s="43"/>
      <c r="AM165" s="4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</row>
    <row r="166" spans="1:59">
      <c r="A166" s="39"/>
      <c r="B166" s="44"/>
      <c r="C166" s="40"/>
      <c r="D166" s="40"/>
      <c r="E166" s="5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3"/>
      <c r="AH166" s="43"/>
      <c r="AI166" s="43"/>
      <c r="AJ166" s="43"/>
      <c r="AK166" s="43"/>
      <c r="AL166" s="43"/>
      <c r="AM166" s="4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</row>
    <row r="167" spans="1:59">
      <c r="A167" s="39"/>
      <c r="B167" s="44"/>
      <c r="C167" s="40"/>
      <c r="D167" s="40"/>
      <c r="E167" s="5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3"/>
      <c r="AH167" s="43"/>
      <c r="AI167" s="43"/>
      <c r="AJ167" s="43"/>
      <c r="AK167" s="43"/>
      <c r="AL167" s="43"/>
      <c r="AM167" s="4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</row>
    <row r="168" spans="1:59">
      <c r="A168" s="39"/>
      <c r="B168" s="44"/>
      <c r="C168" s="40"/>
      <c r="D168" s="40"/>
      <c r="E168" s="5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3"/>
      <c r="AH168" s="43"/>
      <c r="AI168" s="43"/>
      <c r="AJ168" s="43"/>
      <c r="AK168" s="43"/>
      <c r="AL168" s="43"/>
      <c r="AM168" s="4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</row>
    <row r="169" spans="1:59">
      <c r="A169" s="39"/>
      <c r="B169" s="44"/>
      <c r="C169" s="40"/>
      <c r="D169" s="40"/>
      <c r="E169" s="5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3"/>
      <c r="AH169" s="43"/>
      <c r="AI169" s="43"/>
      <c r="AJ169" s="43"/>
      <c r="AK169" s="43"/>
      <c r="AL169" s="43"/>
      <c r="AM169" s="4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</row>
    <row r="170" spans="1:59">
      <c r="A170" s="39"/>
      <c r="B170" s="44"/>
      <c r="C170" s="40"/>
      <c r="D170" s="40"/>
      <c r="E170" s="5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3"/>
      <c r="AH170" s="43"/>
      <c r="AI170" s="43"/>
      <c r="AJ170" s="43"/>
      <c r="AK170" s="43"/>
      <c r="AL170" s="43"/>
      <c r="AM170" s="4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</row>
    <row r="171" spans="1:59">
      <c r="A171" s="39"/>
      <c r="B171" s="44"/>
      <c r="C171" s="40"/>
      <c r="D171" s="40"/>
      <c r="E171" s="5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3"/>
      <c r="AH171" s="43"/>
      <c r="AI171" s="43"/>
      <c r="AJ171" s="43"/>
      <c r="AK171" s="43"/>
      <c r="AL171" s="43"/>
      <c r="AM171" s="4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</row>
    <row r="172" spans="1:59">
      <c r="A172" s="39"/>
      <c r="B172" s="44"/>
      <c r="C172" s="40"/>
      <c r="D172" s="40"/>
      <c r="E172" s="5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3"/>
      <c r="AH172" s="43"/>
      <c r="AI172" s="43"/>
      <c r="AJ172" s="43"/>
      <c r="AK172" s="43"/>
      <c r="AL172" s="43"/>
      <c r="AM172" s="4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</row>
    <row r="173" spans="1:59">
      <c r="A173" s="39"/>
      <c r="B173" s="44"/>
      <c r="C173" s="40"/>
      <c r="D173" s="40"/>
      <c r="E173" s="5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3"/>
      <c r="AH173" s="43"/>
      <c r="AI173" s="43"/>
      <c r="AJ173" s="43"/>
      <c r="AK173" s="43"/>
      <c r="AL173" s="43"/>
      <c r="AM173" s="4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</row>
    <row r="174" spans="1:59">
      <c r="A174" s="39"/>
      <c r="B174" s="44"/>
      <c r="C174" s="40"/>
      <c r="D174" s="40"/>
      <c r="E174" s="5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3"/>
      <c r="AH174" s="43"/>
      <c r="AI174" s="43"/>
      <c r="AJ174" s="43"/>
      <c r="AK174" s="43"/>
      <c r="AL174" s="43"/>
      <c r="AM174" s="4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</row>
    <row r="175" spans="1:59">
      <c r="A175" s="39"/>
      <c r="B175" s="44"/>
      <c r="C175" s="40"/>
      <c r="D175" s="40"/>
      <c r="E175" s="5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3"/>
      <c r="AH175" s="43"/>
      <c r="AI175" s="43"/>
      <c r="AJ175" s="43"/>
      <c r="AK175" s="43"/>
      <c r="AL175" s="43"/>
      <c r="AM175" s="4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</row>
    <row r="176" spans="1:59">
      <c r="A176" s="39"/>
      <c r="B176" s="44"/>
      <c r="C176" s="40"/>
      <c r="D176" s="40"/>
      <c r="E176" s="5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3"/>
      <c r="AH176" s="43"/>
      <c r="AI176" s="43"/>
      <c r="AJ176" s="43"/>
      <c r="AK176" s="43"/>
      <c r="AL176" s="43"/>
      <c r="AM176" s="4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</row>
    <row r="177" spans="1:59">
      <c r="A177" s="39"/>
      <c r="B177" s="44"/>
      <c r="C177" s="40"/>
      <c r="D177" s="40"/>
      <c r="E177" s="5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3"/>
      <c r="AH177" s="43"/>
      <c r="AI177" s="43"/>
      <c r="AJ177" s="43"/>
      <c r="AK177" s="43"/>
      <c r="AL177" s="43"/>
      <c r="AM177" s="4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</row>
    <row r="178" spans="1:59">
      <c r="A178" s="39"/>
      <c r="B178" s="44"/>
      <c r="C178" s="40"/>
      <c r="D178" s="40"/>
      <c r="E178" s="5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3"/>
      <c r="AH178" s="43"/>
      <c r="AI178" s="43"/>
      <c r="AJ178" s="43"/>
      <c r="AK178" s="43"/>
      <c r="AL178" s="43"/>
      <c r="AM178" s="4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</row>
    <row r="179" spans="1:59">
      <c r="A179" s="39"/>
      <c r="B179" s="44"/>
      <c r="C179" s="40"/>
      <c r="D179" s="40"/>
      <c r="E179" s="5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3"/>
      <c r="AH179" s="43"/>
      <c r="AI179" s="43"/>
      <c r="AJ179" s="43"/>
      <c r="AK179" s="43"/>
      <c r="AL179" s="43"/>
      <c r="AM179" s="4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</row>
    <row r="180" spans="1:59">
      <c r="A180" s="39"/>
      <c r="B180" s="44"/>
      <c r="C180" s="40"/>
      <c r="D180" s="40"/>
      <c r="E180" s="5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3"/>
      <c r="AH180" s="43"/>
      <c r="AI180" s="43"/>
      <c r="AJ180" s="43"/>
      <c r="AK180" s="43"/>
      <c r="AL180" s="43"/>
      <c r="AM180" s="4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</row>
    <row r="181" spans="1:59">
      <c r="A181" s="39"/>
      <c r="B181" s="44"/>
      <c r="C181" s="40"/>
      <c r="D181" s="40"/>
      <c r="E181" s="5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3"/>
      <c r="AH181" s="43"/>
      <c r="AI181" s="43"/>
      <c r="AJ181" s="43"/>
      <c r="AK181" s="43"/>
      <c r="AL181" s="43"/>
      <c r="AM181" s="4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</row>
    <row r="182" spans="1:59">
      <c r="A182" s="39"/>
      <c r="B182" s="44"/>
      <c r="C182" s="40"/>
      <c r="D182" s="40"/>
      <c r="E182" s="5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3"/>
      <c r="AH182" s="43"/>
      <c r="AI182" s="43"/>
      <c r="AJ182" s="43"/>
      <c r="AK182" s="43"/>
      <c r="AL182" s="43"/>
      <c r="AM182" s="4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</row>
    <row r="183" spans="1:59">
      <c r="A183" s="39"/>
      <c r="B183" s="44"/>
      <c r="C183" s="40"/>
      <c r="D183" s="40"/>
      <c r="E183" s="5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3"/>
      <c r="AH183" s="43"/>
      <c r="AI183" s="43"/>
      <c r="AJ183" s="43"/>
      <c r="AK183" s="43"/>
      <c r="AL183" s="43"/>
      <c r="AM183" s="4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</row>
    <row r="184" spans="1:59">
      <c r="A184" s="39"/>
      <c r="B184" s="44"/>
      <c r="C184" s="40"/>
      <c r="D184" s="40"/>
      <c r="E184" s="5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3"/>
      <c r="AH184" s="43"/>
      <c r="AI184" s="43"/>
      <c r="AJ184" s="43"/>
      <c r="AK184" s="43"/>
      <c r="AL184" s="43"/>
      <c r="AM184" s="4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</row>
    <row r="185" spans="1:59">
      <c r="A185" s="39"/>
      <c r="B185" s="44"/>
      <c r="C185" s="40"/>
      <c r="D185" s="40"/>
      <c r="E185" s="5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3"/>
      <c r="AH185" s="43"/>
      <c r="AI185" s="43"/>
      <c r="AJ185" s="43"/>
      <c r="AK185" s="43"/>
      <c r="AL185" s="43"/>
      <c r="AM185" s="4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</row>
    <row r="186" spans="1:59">
      <c r="A186" s="39"/>
      <c r="B186" s="44"/>
      <c r="C186" s="40"/>
      <c r="D186" s="40"/>
      <c r="E186" s="5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3"/>
      <c r="AH186" s="43"/>
      <c r="AI186" s="43"/>
      <c r="AJ186" s="43"/>
      <c r="AK186" s="43"/>
      <c r="AL186" s="43"/>
      <c r="AM186" s="4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</row>
    <row r="187" spans="1:59">
      <c r="A187" s="39"/>
      <c r="B187" s="44"/>
      <c r="C187" s="40"/>
      <c r="D187" s="40"/>
      <c r="E187" s="5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3"/>
      <c r="AH187" s="43"/>
      <c r="AI187" s="43"/>
      <c r="AJ187" s="43"/>
      <c r="AK187" s="43"/>
      <c r="AL187" s="43"/>
      <c r="AM187" s="4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</row>
    <row r="188" spans="1:59">
      <c r="A188" s="39"/>
      <c r="B188" s="44"/>
      <c r="C188" s="40"/>
      <c r="D188" s="40"/>
      <c r="E188" s="5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3"/>
      <c r="AH188" s="43"/>
      <c r="AI188" s="43"/>
      <c r="AJ188" s="43"/>
      <c r="AK188" s="43"/>
      <c r="AL188" s="43"/>
      <c r="AM188" s="4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</row>
    <row r="189" spans="1:59">
      <c r="A189" s="39"/>
      <c r="B189" s="44"/>
      <c r="C189" s="40"/>
      <c r="D189" s="40"/>
      <c r="E189" s="5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3"/>
      <c r="AH189" s="43"/>
      <c r="AI189" s="43"/>
      <c r="AJ189" s="43"/>
      <c r="AK189" s="43"/>
      <c r="AL189" s="43"/>
      <c r="AM189" s="4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</row>
    <row r="190" spans="1:59">
      <c r="A190" s="39"/>
      <c r="B190" s="44"/>
      <c r="C190" s="40"/>
      <c r="D190" s="40"/>
      <c r="E190" s="5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3"/>
      <c r="AH190" s="43"/>
      <c r="AI190" s="43"/>
      <c r="AJ190" s="43"/>
      <c r="AK190" s="43"/>
      <c r="AL190" s="43"/>
      <c r="AM190" s="4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</row>
    <row r="191" spans="1:59">
      <c r="A191" s="39"/>
      <c r="B191" s="44"/>
      <c r="C191" s="40"/>
      <c r="D191" s="40"/>
      <c r="E191" s="5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3"/>
      <c r="AH191" s="43"/>
      <c r="AI191" s="43"/>
      <c r="AJ191" s="43"/>
      <c r="AK191" s="43"/>
      <c r="AL191" s="43"/>
      <c r="AM191" s="4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</row>
    <row r="192" spans="1:59">
      <c r="A192" s="39"/>
      <c r="B192" s="44"/>
      <c r="C192" s="40"/>
      <c r="D192" s="40"/>
      <c r="E192" s="5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3"/>
      <c r="AH192" s="43"/>
      <c r="AI192" s="43"/>
      <c r="AJ192" s="43"/>
      <c r="AK192" s="43"/>
      <c r="AL192" s="43"/>
      <c r="AM192" s="4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</row>
    <row r="193" spans="1:59">
      <c r="A193" s="39"/>
      <c r="B193" s="44"/>
      <c r="C193" s="40"/>
      <c r="D193" s="40"/>
      <c r="E193" s="5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3"/>
      <c r="AH193" s="43"/>
      <c r="AI193" s="43"/>
      <c r="AJ193" s="43"/>
      <c r="AK193" s="43"/>
      <c r="AL193" s="43"/>
      <c r="AM193" s="4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</row>
    <row r="194" spans="1:59">
      <c r="A194" s="39"/>
      <c r="B194" s="44"/>
      <c r="C194" s="40"/>
      <c r="D194" s="40"/>
      <c r="E194" s="5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3"/>
      <c r="AH194" s="43"/>
      <c r="AI194" s="43"/>
      <c r="AJ194" s="43"/>
      <c r="AK194" s="43"/>
      <c r="AL194" s="43"/>
      <c r="AM194" s="4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</row>
    <row r="195" spans="1:59">
      <c r="A195" s="39"/>
      <c r="B195" s="44"/>
      <c r="C195" s="40"/>
      <c r="D195" s="40"/>
      <c r="E195" s="5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3"/>
      <c r="AH195" s="43"/>
      <c r="AI195" s="43"/>
      <c r="AJ195" s="43"/>
      <c r="AK195" s="43"/>
      <c r="AL195" s="43"/>
      <c r="AM195" s="4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</row>
    <row r="196" spans="1:59">
      <c r="A196" s="39"/>
      <c r="B196" s="44"/>
      <c r="C196" s="40"/>
      <c r="D196" s="40"/>
      <c r="E196" s="5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3"/>
      <c r="AH196" s="43"/>
      <c r="AI196" s="43"/>
      <c r="AJ196" s="43"/>
      <c r="AK196" s="43"/>
      <c r="AL196" s="43"/>
      <c r="AM196" s="4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</row>
    <row r="197" spans="1:59">
      <c r="A197" s="39"/>
      <c r="B197" s="44"/>
      <c r="C197" s="40"/>
      <c r="D197" s="40"/>
      <c r="E197" s="5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3"/>
      <c r="AH197" s="43"/>
      <c r="AI197" s="43"/>
      <c r="AJ197" s="43"/>
      <c r="AK197" s="43"/>
      <c r="AL197" s="43"/>
      <c r="AM197" s="4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</row>
    <row r="198" spans="1:59">
      <c r="A198" s="39"/>
      <c r="B198" s="44"/>
      <c r="C198" s="40"/>
      <c r="D198" s="40"/>
      <c r="E198" s="5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3"/>
      <c r="AH198" s="43"/>
      <c r="AI198" s="43"/>
      <c r="AJ198" s="43"/>
      <c r="AK198" s="43"/>
      <c r="AL198" s="43"/>
      <c r="AM198" s="4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</row>
    <row r="199" spans="1:59">
      <c r="A199" s="39"/>
      <c r="B199" s="44"/>
      <c r="C199" s="40"/>
      <c r="D199" s="40"/>
      <c r="E199" s="5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3"/>
      <c r="AH199" s="43"/>
      <c r="AI199" s="43"/>
      <c r="AJ199" s="43"/>
      <c r="AK199" s="43"/>
      <c r="AL199" s="43"/>
      <c r="AM199" s="4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</row>
    <row r="200" spans="1:59">
      <c r="A200" s="39"/>
      <c r="B200" s="44"/>
      <c r="C200" s="40"/>
      <c r="D200" s="40"/>
      <c r="E200" s="5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3"/>
      <c r="AH200" s="43"/>
      <c r="AI200" s="43"/>
      <c r="AJ200" s="43"/>
      <c r="AK200" s="43"/>
      <c r="AL200" s="43"/>
      <c r="AM200" s="4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</row>
    <row r="201" spans="1:59">
      <c r="A201" s="39"/>
      <c r="B201" s="44"/>
      <c r="C201" s="40"/>
      <c r="D201" s="40"/>
      <c r="E201" s="5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3"/>
      <c r="AH201" s="43"/>
      <c r="AI201" s="43"/>
      <c r="AJ201" s="43"/>
      <c r="AK201" s="43"/>
      <c r="AL201" s="43"/>
      <c r="AM201" s="4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</row>
    <row r="202" spans="1:59">
      <c r="A202" s="39"/>
      <c r="B202" s="44"/>
      <c r="C202" s="40"/>
      <c r="D202" s="40"/>
      <c r="E202" s="5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3"/>
      <c r="AH202" s="43"/>
      <c r="AI202" s="43"/>
      <c r="AJ202" s="43"/>
      <c r="AK202" s="43"/>
      <c r="AL202" s="43"/>
      <c r="AM202" s="4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</row>
    <row r="203" spans="1:59">
      <c r="A203" s="39"/>
      <c r="B203" s="44"/>
      <c r="C203" s="40"/>
      <c r="D203" s="40"/>
      <c r="E203" s="5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3"/>
      <c r="AH203" s="43"/>
      <c r="AI203" s="43"/>
      <c r="AJ203" s="43"/>
      <c r="AK203" s="43"/>
      <c r="AL203" s="43"/>
      <c r="AM203" s="4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</row>
    <row r="204" spans="1:59">
      <c r="A204" s="39"/>
      <c r="B204" s="44"/>
      <c r="C204" s="40"/>
      <c r="D204" s="40"/>
      <c r="E204" s="5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3"/>
      <c r="AH204" s="43"/>
      <c r="AI204" s="43"/>
      <c r="AJ204" s="43"/>
      <c r="AK204" s="43"/>
      <c r="AL204" s="43"/>
      <c r="AM204" s="4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</row>
    <row r="205" spans="1:59">
      <c r="A205" s="39"/>
      <c r="B205" s="44"/>
      <c r="C205" s="40"/>
      <c r="D205" s="40"/>
      <c r="E205" s="5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3"/>
      <c r="AH205" s="43"/>
      <c r="AI205" s="43"/>
      <c r="AJ205" s="43"/>
      <c r="AK205" s="43"/>
      <c r="AL205" s="43"/>
      <c r="AM205" s="4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</row>
    <row r="206" spans="1:59">
      <c r="A206" s="39"/>
      <c r="B206" s="44"/>
      <c r="C206" s="40"/>
      <c r="D206" s="40"/>
      <c r="E206" s="5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3"/>
      <c r="AH206" s="43"/>
      <c r="AI206" s="43"/>
      <c r="AJ206" s="43"/>
      <c r="AK206" s="43"/>
      <c r="AL206" s="43"/>
      <c r="AM206" s="4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</row>
    <row r="207" spans="1:59">
      <c r="A207" s="39"/>
      <c r="B207" s="44"/>
      <c r="C207" s="40"/>
      <c r="D207" s="40"/>
      <c r="E207" s="5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3"/>
      <c r="AH207" s="43"/>
      <c r="AI207" s="43"/>
      <c r="AJ207" s="43"/>
      <c r="AK207" s="43"/>
      <c r="AL207" s="43"/>
      <c r="AM207" s="4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</row>
    <row r="208" spans="1:59">
      <c r="A208" s="39"/>
      <c r="B208" s="44"/>
      <c r="C208" s="40"/>
      <c r="D208" s="40"/>
      <c r="E208" s="5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3"/>
      <c r="AH208" s="43"/>
      <c r="AI208" s="43"/>
      <c r="AJ208" s="43"/>
      <c r="AK208" s="43"/>
      <c r="AL208" s="43"/>
      <c r="AM208" s="4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</row>
    <row r="209" spans="1:59">
      <c r="A209" s="39"/>
      <c r="B209" s="44"/>
      <c r="C209" s="40"/>
      <c r="D209" s="40"/>
      <c r="E209" s="5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3"/>
      <c r="AH209" s="43"/>
      <c r="AI209" s="43"/>
      <c r="AJ209" s="43"/>
      <c r="AK209" s="43"/>
      <c r="AL209" s="43"/>
      <c r="AM209" s="4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</row>
    <row r="210" spans="1:59">
      <c r="A210" s="39"/>
      <c r="B210" s="44"/>
      <c r="C210" s="40"/>
      <c r="D210" s="40"/>
      <c r="E210" s="5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3"/>
      <c r="AH210" s="43"/>
      <c r="AI210" s="43"/>
      <c r="AJ210" s="43"/>
      <c r="AK210" s="43"/>
      <c r="AL210" s="43"/>
      <c r="AM210" s="4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</row>
    <row r="211" spans="1:59">
      <c r="A211" s="39"/>
      <c r="B211" s="44"/>
      <c r="C211" s="40"/>
      <c r="D211" s="40"/>
      <c r="E211" s="5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3"/>
      <c r="AH211" s="43"/>
      <c r="AI211" s="43"/>
      <c r="AJ211" s="43"/>
      <c r="AK211" s="43"/>
      <c r="AL211" s="43"/>
      <c r="AM211" s="4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</row>
    <row r="212" spans="1:59">
      <c r="A212" s="39"/>
      <c r="B212" s="44"/>
      <c r="C212" s="40"/>
      <c r="D212" s="40"/>
      <c r="E212" s="5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3"/>
      <c r="AH212" s="43"/>
      <c r="AI212" s="43"/>
      <c r="AJ212" s="43"/>
      <c r="AK212" s="43"/>
      <c r="AL212" s="43"/>
      <c r="AM212" s="4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</row>
    <row r="213" spans="1:59">
      <c r="A213" s="39"/>
      <c r="B213" s="44"/>
      <c r="C213" s="40"/>
      <c r="D213" s="40"/>
      <c r="E213" s="5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3"/>
      <c r="AH213" s="43"/>
      <c r="AI213" s="43"/>
      <c r="AJ213" s="43"/>
      <c r="AK213" s="43"/>
      <c r="AL213" s="43"/>
      <c r="AM213" s="4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</row>
    <row r="214" spans="1:59">
      <c r="A214" s="39"/>
      <c r="B214" s="44"/>
      <c r="C214" s="40"/>
      <c r="D214" s="40"/>
      <c r="E214" s="5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3"/>
      <c r="AH214" s="43"/>
      <c r="AI214" s="43"/>
      <c r="AJ214" s="43"/>
      <c r="AK214" s="43"/>
      <c r="AL214" s="43"/>
      <c r="AM214" s="4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</row>
    <row r="215" spans="1:59">
      <c r="A215" s="39"/>
      <c r="B215" s="44"/>
      <c r="C215" s="40"/>
      <c r="D215" s="40"/>
      <c r="E215" s="5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3"/>
      <c r="AH215" s="43"/>
      <c r="AI215" s="43"/>
      <c r="AJ215" s="43"/>
      <c r="AK215" s="43"/>
      <c r="AL215" s="43"/>
      <c r="AM215" s="4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</row>
    <row r="216" spans="1:59">
      <c r="A216" s="39"/>
      <c r="B216" s="44"/>
      <c r="C216" s="40"/>
      <c r="D216" s="40"/>
      <c r="E216" s="5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3"/>
      <c r="AH216" s="43"/>
      <c r="AI216" s="43"/>
      <c r="AJ216" s="43"/>
      <c r="AK216" s="43"/>
      <c r="AL216" s="43"/>
      <c r="AM216" s="4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</row>
    <row r="217" spans="1:59">
      <c r="A217" s="39"/>
      <c r="B217" s="44"/>
      <c r="C217" s="40"/>
      <c r="D217" s="40"/>
      <c r="E217" s="5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3"/>
      <c r="AH217" s="43"/>
      <c r="AI217" s="43"/>
      <c r="AJ217" s="43"/>
      <c r="AK217" s="43"/>
      <c r="AL217" s="43"/>
      <c r="AM217" s="4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</row>
    <row r="218" spans="1:59">
      <c r="A218" s="39"/>
      <c r="B218" s="44"/>
      <c r="C218" s="40"/>
      <c r="D218" s="40"/>
      <c r="E218" s="5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3"/>
      <c r="AH218" s="43"/>
      <c r="AI218" s="43"/>
      <c r="AJ218" s="43"/>
      <c r="AK218" s="43"/>
      <c r="AL218" s="43"/>
      <c r="AM218" s="4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</row>
    <row r="219" spans="1:59">
      <c r="A219" s="39"/>
      <c r="B219" s="44"/>
      <c r="C219" s="40"/>
      <c r="D219" s="40"/>
      <c r="E219" s="51"/>
      <c r="F219" s="41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3"/>
      <c r="AH219" s="43"/>
      <c r="AI219" s="43"/>
      <c r="AJ219" s="43"/>
      <c r="AK219" s="43"/>
      <c r="AL219" s="43"/>
      <c r="AM219" s="4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</row>
    <row r="220" spans="1:59">
      <c r="A220" s="39"/>
      <c r="B220" s="44"/>
      <c r="C220" s="40"/>
      <c r="D220" s="40"/>
      <c r="E220" s="51"/>
      <c r="F220" s="41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3"/>
      <c r="AH220" s="43"/>
      <c r="AI220" s="43"/>
      <c r="AJ220" s="43"/>
      <c r="AK220" s="43"/>
      <c r="AL220" s="43"/>
      <c r="AM220" s="4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</row>
    <row r="221" spans="1:59">
      <c r="A221" s="39"/>
      <c r="B221" s="44"/>
      <c r="C221" s="40"/>
      <c r="D221" s="40"/>
      <c r="E221" s="51"/>
      <c r="F221" s="41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3"/>
      <c r="AH221" s="43"/>
      <c r="AI221" s="43"/>
      <c r="AJ221" s="43"/>
      <c r="AK221" s="43"/>
      <c r="AL221" s="43"/>
      <c r="AM221" s="4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</row>
    <row r="222" spans="1:59">
      <c r="A222" s="39"/>
      <c r="B222" s="44"/>
      <c r="C222" s="40"/>
      <c r="D222" s="40"/>
      <c r="E222" s="51"/>
      <c r="F222" s="41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3"/>
      <c r="AH222" s="43"/>
      <c r="AI222" s="43"/>
      <c r="AJ222" s="43"/>
      <c r="AK222" s="43"/>
      <c r="AL222" s="43"/>
      <c r="AM222" s="4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</row>
    <row r="223" spans="1:59">
      <c r="A223" s="39"/>
      <c r="B223" s="44"/>
      <c r="C223" s="40"/>
      <c r="D223" s="40"/>
      <c r="E223" s="51"/>
      <c r="F223" s="41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3"/>
      <c r="AH223" s="43"/>
      <c r="AI223" s="43"/>
      <c r="AJ223" s="43"/>
      <c r="AK223" s="43"/>
      <c r="AL223" s="43"/>
      <c r="AM223" s="4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</row>
    <row r="224" spans="1:59">
      <c r="A224" s="39"/>
      <c r="B224" s="44"/>
      <c r="C224" s="40"/>
      <c r="D224" s="40"/>
      <c r="E224" s="51"/>
      <c r="F224" s="41"/>
      <c r="G224" s="41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3"/>
      <c r="AH224" s="43"/>
      <c r="AI224" s="43"/>
      <c r="AJ224" s="43"/>
      <c r="AK224" s="43"/>
      <c r="AL224" s="43"/>
      <c r="AM224" s="4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</row>
    <row r="225" spans="1:59">
      <c r="A225" s="39"/>
      <c r="B225" s="44"/>
      <c r="C225" s="40"/>
      <c r="D225" s="40"/>
      <c r="E225" s="51"/>
      <c r="F225" s="41"/>
      <c r="G225" s="41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3"/>
      <c r="AH225" s="43"/>
      <c r="AI225" s="43"/>
      <c r="AJ225" s="43"/>
      <c r="AK225" s="43"/>
      <c r="AL225" s="43"/>
      <c r="AM225" s="4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</row>
    <row r="226" spans="1:59">
      <c r="A226" s="39"/>
      <c r="B226" s="44"/>
      <c r="C226" s="40"/>
      <c r="D226" s="40"/>
      <c r="E226" s="51"/>
      <c r="F226" s="41"/>
      <c r="G226" s="41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3"/>
      <c r="AH226" s="43"/>
      <c r="AI226" s="43"/>
      <c r="AJ226" s="43"/>
      <c r="AK226" s="43"/>
      <c r="AL226" s="43"/>
      <c r="AM226" s="4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</row>
    <row r="227" spans="1:59">
      <c r="A227" s="39"/>
      <c r="B227" s="44"/>
      <c r="C227" s="40"/>
      <c r="D227" s="40"/>
      <c r="E227" s="51"/>
      <c r="F227" s="41"/>
      <c r="G227" s="41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3"/>
      <c r="AH227" s="43"/>
      <c r="AI227" s="43"/>
      <c r="AJ227" s="43"/>
      <c r="AK227" s="43"/>
      <c r="AL227" s="43"/>
      <c r="AM227" s="4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</row>
    <row r="228" spans="1:59">
      <c r="A228" s="39"/>
      <c r="B228" s="44"/>
      <c r="C228" s="40"/>
      <c r="D228" s="40"/>
      <c r="E228" s="51"/>
      <c r="F228" s="41"/>
      <c r="G228" s="41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3"/>
      <c r="AH228" s="43"/>
      <c r="AI228" s="43"/>
      <c r="AJ228" s="43"/>
      <c r="AK228" s="43"/>
      <c r="AL228" s="43"/>
      <c r="AM228" s="4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</row>
    <row r="229" spans="1:59">
      <c r="A229" s="39"/>
      <c r="B229" s="44"/>
      <c r="C229" s="40"/>
      <c r="D229" s="40"/>
      <c r="E229" s="51"/>
      <c r="F229" s="41"/>
      <c r="G229" s="41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3"/>
      <c r="AH229" s="43"/>
      <c r="AI229" s="43"/>
      <c r="AJ229" s="43"/>
      <c r="AK229" s="43"/>
      <c r="AL229" s="43"/>
      <c r="AM229" s="4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</row>
    <row r="230" spans="1:59">
      <c r="A230" s="39"/>
      <c r="B230" s="44"/>
      <c r="C230" s="40"/>
      <c r="D230" s="40"/>
      <c r="E230" s="51"/>
      <c r="F230" s="41"/>
      <c r="G230" s="41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3"/>
      <c r="AH230" s="43"/>
      <c r="AI230" s="43"/>
      <c r="AJ230" s="43"/>
      <c r="AK230" s="43"/>
      <c r="AL230" s="43"/>
      <c r="AM230" s="4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</row>
    <row r="231" spans="1:59">
      <c r="A231" s="39"/>
      <c r="B231" s="44"/>
      <c r="C231" s="40"/>
      <c r="D231" s="40"/>
      <c r="E231" s="51"/>
      <c r="F231" s="41"/>
      <c r="G231" s="41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3"/>
      <c r="AH231" s="43"/>
      <c r="AI231" s="43"/>
      <c r="AJ231" s="43"/>
      <c r="AK231" s="43"/>
      <c r="AL231" s="43"/>
      <c r="AM231" s="4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</row>
    <row r="232" spans="1:59">
      <c r="A232" s="39"/>
      <c r="B232" s="44"/>
      <c r="C232" s="40"/>
      <c r="D232" s="40"/>
      <c r="E232" s="51"/>
      <c r="F232" s="41"/>
      <c r="G232" s="41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3"/>
      <c r="AH232" s="43"/>
      <c r="AI232" s="43"/>
      <c r="AJ232" s="43"/>
      <c r="AK232" s="43"/>
      <c r="AL232" s="43"/>
      <c r="AM232" s="4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</row>
    <row r="233" spans="1:59">
      <c r="A233" s="39"/>
      <c r="B233" s="44"/>
      <c r="C233" s="40"/>
      <c r="D233" s="40"/>
      <c r="E233" s="51"/>
      <c r="F233" s="41"/>
      <c r="G233" s="41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3"/>
      <c r="AH233" s="43"/>
      <c r="AI233" s="43"/>
      <c r="AJ233" s="43"/>
      <c r="AK233" s="43"/>
      <c r="AL233" s="43"/>
      <c r="AM233" s="4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</row>
    <row r="234" spans="1:59">
      <c r="A234" s="39"/>
      <c r="B234" s="44"/>
      <c r="C234" s="40"/>
      <c r="D234" s="40"/>
      <c r="E234" s="51"/>
      <c r="F234" s="41"/>
      <c r="G234" s="41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3"/>
      <c r="AH234" s="43"/>
      <c r="AI234" s="43"/>
      <c r="AJ234" s="43"/>
      <c r="AK234" s="43"/>
      <c r="AL234" s="43"/>
      <c r="AM234" s="4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</row>
    <row r="235" spans="1:59">
      <c r="A235" s="39"/>
      <c r="B235" s="44"/>
      <c r="C235" s="40"/>
      <c r="D235" s="40"/>
      <c r="E235" s="51"/>
      <c r="F235" s="41"/>
      <c r="G235" s="41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3"/>
      <c r="AH235" s="43"/>
      <c r="AI235" s="43"/>
      <c r="AJ235" s="43"/>
      <c r="AK235" s="43"/>
      <c r="AL235" s="43"/>
      <c r="AM235" s="4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</row>
    <row r="236" spans="1:59">
      <c r="A236" s="39"/>
      <c r="B236" s="44"/>
      <c r="C236" s="40"/>
      <c r="D236" s="40"/>
      <c r="E236" s="51"/>
      <c r="F236" s="41"/>
      <c r="G236" s="41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3"/>
      <c r="AH236" s="43"/>
      <c r="AI236" s="43"/>
      <c r="AJ236" s="43"/>
      <c r="AK236" s="43"/>
      <c r="AL236" s="43"/>
      <c r="AM236" s="4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</row>
    <row r="237" spans="1:59">
      <c r="A237" s="39"/>
      <c r="B237" s="44"/>
      <c r="C237" s="40"/>
      <c r="D237" s="40"/>
      <c r="E237" s="51"/>
      <c r="F237" s="41"/>
      <c r="G237" s="41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3"/>
      <c r="AH237" s="43"/>
      <c r="AI237" s="43"/>
      <c r="AJ237" s="43"/>
      <c r="AK237" s="43"/>
      <c r="AL237" s="43"/>
      <c r="AM237" s="4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</row>
    <row r="238" spans="1:59">
      <c r="A238" s="39"/>
      <c r="B238" s="44"/>
      <c r="C238" s="40"/>
      <c r="D238" s="40"/>
      <c r="E238" s="51"/>
      <c r="F238" s="41"/>
      <c r="G238" s="41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3"/>
      <c r="AH238" s="43"/>
      <c r="AI238" s="43"/>
      <c r="AJ238" s="43"/>
      <c r="AK238" s="43"/>
      <c r="AL238" s="43"/>
      <c r="AM238" s="4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</row>
    <row r="239" spans="1:59">
      <c r="A239" s="39"/>
      <c r="B239" s="44"/>
      <c r="C239" s="40"/>
      <c r="D239" s="40"/>
      <c r="E239" s="51"/>
      <c r="F239" s="41"/>
      <c r="G239" s="41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3"/>
      <c r="AH239" s="43"/>
      <c r="AI239" s="43"/>
      <c r="AJ239" s="43"/>
      <c r="AK239" s="43"/>
      <c r="AL239" s="43"/>
      <c r="AM239" s="4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</row>
    <row r="240" spans="1:59">
      <c r="A240" s="39"/>
      <c r="B240" s="44"/>
      <c r="C240" s="40"/>
      <c r="D240" s="40"/>
      <c r="E240" s="51"/>
      <c r="F240" s="41"/>
      <c r="G240" s="41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3"/>
      <c r="AH240" s="43"/>
      <c r="AI240" s="43"/>
      <c r="AJ240" s="43"/>
      <c r="AK240" s="43"/>
      <c r="AL240" s="43"/>
      <c r="AM240" s="4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</row>
    <row r="241" spans="1:59">
      <c r="A241" s="39"/>
      <c r="B241" s="44"/>
      <c r="C241" s="40"/>
      <c r="D241" s="40"/>
      <c r="E241" s="51"/>
      <c r="F241" s="41"/>
      <c r="G241" s="41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3"/>
      <c r="AH241" s="43"/>
      <c r="AI241" s="43"/>
      <c r="AJ241" s="43"/>
      <c r="AK241" s="43"/>
      <c r="AL241" s="43"/>
      <c r="AM241" s="4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</row>
    <row r="242" spans="1:59">
      <c r="A242" s="39"/>
      <c r="B242" s="44"/>
      <c r="C242" s="40"/>
      <c r="D242" s="40"/>
      <c r="E242" s="51"/>
      <c r="F242" s="41"/>
      <c r="G242" s="41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3"/>
      <c r="AH242" s="43"/>
      <c r="AI242" s="43"/>
      <c r="AJ242" s="43"/>
      <c r="AK242" s="43"/>
      <c r="AL242" s="43"/>
      <c r="AM242" s="4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</row>
    <row r="243" spans="1:59">
      <c r="A243" s="39"/>
      <c r="B243" s="44"/>
      <c r="C243" s="40"/>
      <c r="D243" s="40"/>
      <c r="E243" s="51"/>
      <c r="F243" s="41"/>
      <c r="G243" s="41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3"/>
      <c r="AH243" s="43"/>
      <c r="AI243" s="43"/>
      <c r="AJ243" s="43"/>
      <c r="AK243" s="43"/>
      <c r="AL243" s="43"/>
      <c r="AM243" s="4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</row>
    <row r="244" spans="1:59">
      <c r="A244" s="39"/>
      <c r="B244" s="44"/>
      <c r="C244" s="40"/>
      <c r="D244" s="40"/>
      <c r="E244" s="51"/>
      <c r="F244" s="41"/>
      <c r="G244" s="41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3"/>
      <c r="AH244" s="43"/>
      <c r="AI244" s="43"/>
      <c r="AJ244" s="43"/>
      <c r="AK244" s="43"/>
      <c r="AL244" s="43"/>
      <c r="AM244" s="4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</row>
    <row r="245" spans="1:59">
      <c r="A245" s="39"/>
      <c r="B245" s="44"/>
      <c r="C245" s="40"/>
      <c r="D245" s="40"/>
      <c r="E245" s="51"/>
      <c r="F245" s="41"/>
      <c r="G245" s="41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3"/>
      <c r="AH245" s="43"/>
      <c r="AI245" s="43"/>
      <c r="AJ245" s="43"/>
      <c r="AK245" s="43"/>
      <c r="AL245" s="43"/>
      <c r="AM245" s="4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</row>
    <row r="246" spans="1:59">
      <c r="A246" s="39"/>
      <c r="B246" s="44"/>
      <c r="C246" s="40"/>
      <c r="D246" s="40"/>
      <c r="E246" s="51"/>
      <c r="F246" s="41"/>
      <c r="G246" s="41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3"/>
      <c r="AH246" s="43"/>
      <c r="AI246" s="43"/>
      <c r="AJ246" s="43"/>
      <c r="AK246" s="43"/>
      <c r="AL246" s="43"/>
      <c r="AM246" s="4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</row>
    <row r="247" spans="1:59">
      <c r="A247" s="39"/>
      <c r="B247" s="44"/>
      <c r="C247" s="40"/>
      <c r="D247" s="40"/>
      <c r="E247" s="51"/>
      <c r="F247" s="41"/>
      <c r="G247" s="41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3"/>
      <c r="AH247" s="43"/>
      <c r="AI247" s="43"/>
      <c r="AJ247" s="43"/>
      <c r="AK247" s="43"/>
      <c r="AL247" s="43"/>
      <c r="AM247" s="4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</row>
    <row r="248" spans="1:59">
      <c r="A248" s="39"/>
      <c r="B248" s="44"/>
      <c r="C248" s="40"/>
      <c r="D248" s="40"/>
      <c r="E248" s="51"/>
      <c r="F248" s="41"/>
      <c r="G248" s="41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3"/>
      <c r="AH248" s="43"/>
      <c r="AI248" s="43"/>
      <c r="AJ248" s="43"/>
      <c r="AK248" s="43"/>
      <c r="AL248" s="43"/>
      <c r="AM248" s="4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</row>
    <row r="249" spans="1:59">
      <c r="A249" s="39"/>
      <c r="B249" s="44"/>
      <c r="C249" s="40"/>
      <c r="D249" s="40"/>
      <c r="E249" s="51"/>
      <c r="F249" s="41"/>
      <c r="G249" s="41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3"/>
      <c r="AH249" s="43"/>
      <c r="AI249" s="43"/>
      <c r="AJ249" s="43"/>
      <c r="AK249" s="43"/>
      <c r="AL249" s="43"/>
      <c r="AM249" s="4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</row>
    <row r="250" spans="1:59">
      <c r="A250" s="39"/>
      <c r="B250" s="44"/>
      <c r="C250" s="40"/>
      <c r="D250" s="40"/>
      <c r="E250" s="51"/>
      <c r="F250" s="41"/>
      <c r="G250" s="41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3"/>
      <c r="AH250" s="43"/>
      <c r="AI250" s="43"/>
      <c r="AJ250" s="43"/>
      <c r="AK250" s="43"/>
      <c r="AL250" s="43"/>
      <c r="AM250" s="4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</row>
    <row r="251" spans="1:59">
      <c r="A251" s="39"/>
      <c r="B251" s="44"/>
      <c r="C251" s="40"/>
      <c r="D251" s="40"/>
      <c r="E251" s="51"/>
      <c r="F251" s="41"/>
      <c r="G251" s="41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3"/>
      <c r="AH251" s="43"/>
      <c r="AI251" s="43"/>
      <c r="AJ251" s="43"/>
      <c r="AK251" s="43"/>
      <c r="AL251" s="43"/>
      <c r="AM251" s="4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</row>
    <row r="252" spans="1:59">
      <c r="A252" s="39"/>
      <c r="B252" s="44"/>
      <c r="C252" s="40"/>
      <c r="D252" s="40"/>
      <c r="E252" s="51"/>
      <c r="F252" s="41"/>
      <c r="G252" s="41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3"/>
      <c r="AH252" s="43"/>
      <c r="AI252" s="43"/>
      <c r="AJ252" s="43"/>
      <c r="AK252" s="43"/>
      <c r="AL252" s="43"/>
      <c r="AM252" s="4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</row>
    <row r="253" spans="1:59">
      <c r="A253" s="39"/>
      <c r="B253" s="44"/>
      <c r="C253" s="40"/>
      <c r="D253" s="40"/>
      <c r="E253" s="51"/>
      <c r="F253" s="41"/>
      <c r="G253" s="41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3"/>
      <c r="AH253" s="43"/>
      <c r="AI253" s="43"/>
      <c r="AJ253" s="43"/>
      <c r="AK253" s="43"/>
      <c r="AL253" s="43"/>
      <c r="AM253" s="4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</row>
    <row r="254" spans="1:59">
      <c r="A254" s="39"/>
      <c r="B254" s="44"/>
      <c r="C254" s="40"/>
      <c r="D254" s="40"/>
      <c r="E254" s="51"/>
      <c r="F254" s="41"/>
      <c r="G254" s="41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3"/>
      <c r="AH254" s="43"/>
      <c r="AI254" s="43"/>
      <c r="AJ254" s="43"/>
      <c r="AK254" s="43"/>
      <c r="AL254" s="43"/>
      <c r="AM254" s="4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</row>
    <row r="255" spans="1:59">
      <c r="A255" s="39"/>
      <c r="B255" s="44"/>
      <c r="C255" s="40"/>
      <c r="D255" s="40"/>
      <c r="E255" s="51"/>
      <c r="F255" s="41"/>
      <c r="G255" s="41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3"/>
      <c r="AH255" s="43"/>
      <c r="AI255" s="43"/>
      <c r="AJ255" s="43"/>
      <c r="AK255" s="43"/>
      <c r="AL255" s="43"/>
      <c r="AM255" s="4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</row>
    <row r="256" spans="1:59">
      <c r="A256" s="39"/>
      <c r="B256" s="44"/>
      <c r="C256" s="40"/>
      <c r="D256" s="40"/>
      <c r="E256" s="51"/>
      <c r="F256" s="41"/>
      <c r="G256" s="41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3"/>
      <c r="AH256" s="43"/>
      <c r="AI256" s="43"/>
      <c r="AJ256" s="43"/>
      <c r="AK256" s="43"/>
      <c r="AL256" s="43"/>
      <c r="AM256" s="4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</row>
    <row r="257" spans="1:59">
      <c r="A257" s="39"/>
      <c r="B257" s="44"/>
      <c r="C257" s="40"/>
      <c r="D257" s="40"/>
      <c r="E257" s="51"/>
      <c r="F257" s="41"/>
      <c r="G257" s="41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3"/>
      <c r="AH257" s="43"/>
      <c r="AI257" s="43"/>
      <c r="AJ257" s="43"/>
      <c r="AK257" s="43"/>
      <c r="AL257" s="43"/>
      <c r="AM257" s="4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</row>
    <row r="258" spans="1:59">
      <c r="A258" s="39"/>
      <c r="B258" s="44"/>
      <c r="C258" s="40"/>
      <c r="D258" s="40"/>
      <c r="E258" s="51"/>
      <c r="F258" s="41"/>
      <c r="G258" s="41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3"/>
      <c r="AH258" s="43"/>
      <c r="AI258" s="43"/>
      <c r="AJ258" s="43"/>
      <c r="AK258" s="43"/>
      <c r="AL258" s="43"/>
      <c r="AM258" s="4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</row>
    <row r="259" spans="1:59">
      <c r="A259" s="39"/>
      <c r="B259" s="44"/>
      <c r="C259" s="40"/>
      <c r="D259" s="40"/>
      <c r="E259" s="51"/>
      <c r="F259" s="41"/>
      <c r="G259" s="41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3"/>
      <c r="AH259" s="43"/>
      <c r="AI259" s="43"/>
      <c r="AJ259" s="43"/>
      <c r="AK259" s="43"/>
      <c r="AL259" s="43"/>
      <c r="AM259" s="43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</row>
    <row r="260" spans="1:59">
      <c r="A260" s="39"/>
      <c r="B260" s="44"/>
      <c r="C260" s="40"/>
      <c r="D260" s="40"/>
      <c r="E260" s="51"/>
      <c r="F260" s="41"/>
      <c r="G260" s="41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3"/>
      <c r="AH260" s="43"/>
      <c r="AI260" s="43"/>
      <c r="AJ260" s="43"/>
      <c r="AK260" s="43"/>
      <c r="AL260" s="43"/>
      <c r="AM260" s="43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</row>
    <row r="261" spans="1:59">
      <c r="A261" s="39"/>
      <c r="B261" s="44"/>
      <c r="C261" s="40"/>
      <c r="D261" s="40"/>
      <c r="E261" s="51"/>
      <c r="F261" s="41"/>
      <c r="G261" s="41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3"/>
      <c r="AH261" s="43"/>
      <c r="AI261" s="43"/>
      <c r="AJ261" s="43"/>
      <c r="AK261" s="43"/>
      <c r="AL261" s="43"/>
      <c r="AM261" s="43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</row>
    <row r="262" spans="1:59">
      <c r="B262" s="44"/>
      <c r="C262" s="40"/>
      <c r="D262" s="40"/>
      <c r="E262" s="51"/>
    </row>
    <row r="263" spans="1:59">
      <c r="B263" s="44"/>
      <c r="C263" s="40"/>
      <c r="D263" s="40"/>
      <c r="E263" s="51"/>
    </row>
  </sheetData>
  <mergeCells count="6">
    <mergeCell ref="F2:F3"/>
    <mergeCell ref="A2:A3"/>
    <mergeCell ref="B2:B3"/>
    <mergeCell ref="C2:C3"/>
    <mergeCell ref="D2:D3"/>
    <mergeCell ref="E2:E3"/>
  </mergeCells>
  <conditionalFormatting sqref="F5:F28">
    <cfRule type="dataBar" priority="18">
      <dataBar>
        <cfvo type="min" val="0"/>
        <cfvo type="max" val="0"/>
        <color rgb="FF638EC6"/>
      </dataBar>
      <extLst xmlns:x14="http://schemas.microsoft.com/office/spreadsheetml/2009/9/main">
        <ext uri="{B025F937-C7B1-47D3-B67F-A62EFF666E3E}">
          <x14:id>{827C25BD-007C-4057-AB73-37950FC59868}</x14:id>
        </ext>
      </extLst>
    </cfRule>
  </conditionalFormatting>
  <conditionalFormatting sqref="H5:AM27">
    <cfRule type="expression" dxfId="3" priority="37">
      <formula>DAYS360(MAX($D$5:$D$27),H$2)&gt;0</formula>
    </cfRule>
    <cfRule type="expression" dxfId="2" priority="39">
      <formula>DAYS360($B$29,H$2)&lt;=0</formula>
    </cfRule>
  </conditionalFormatting>
  <conditionalFormatting sqref="H2:AM4">
    <cfRule type="expression" dxfId="1" priority="42">
      <formula>DAYS360($B$29,H$2)&lt;=0</formula>
    </cfRule>
  </conditionalFormatting>
  <conditionalFormatting sqref="H4:AM4">
    <cfRule type="expression" dxfId="0" priority="1">
      <formula>DAYS360($B$29,H$2)&lt;=0</formula>
    </cfRule>
  </conditionalFormatting>
  <dataValidations count="2">
    <dataValidation type="list" allowBlank="1" showInputMessage="1" showErrorMessage="1" errorTitle="Don't Enter Data" error="This area is for displaying the gantt chart... you do not need to enter data here." sqref="H5:AG27">
      <formula1>"never enter data"</formula1>
    </dataValidation>
    <dataValidation allowBlank="1" showInputMessage="1" showErrorMessage="1" errorTitle="Calculated Fields" error="Do not enter data here... these are calculated fields" sqref="E5:E27"/>
  </dataValidations>
  <pageMargins left="0.25" right="0.25" top="0.75" bottom="0.75" header="0.3" footer="0.3"/>
  <headerFooter>
    <oddHeader>&amp;CMetLife CLM POC Work Plan&amp;R&amp;D</oddHeader>
  </headerFooter>
  <drawing r:id="rId1"/>
  <legacyDrawing r:id="rId2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dataBar" id="{827C25BD-007C-4057-AB73-37950FC59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F5:F28</xm:sqref>
        </x14:conditionalFormatting>
        <x14:conditionalFormatting xmlns:xm="http://schemas.microsoft.com/office/excel/2006/main">
          <x14:cfRule type="expression" priority="35" id="{0D2DC177-CDF5-4041-B0BE-E5AAFE050CE7}">
            <xm:f>AND(DAYS360($B$29,H$2)&lt;=0,$F5&lt;0.5,H$2&gt;=$C5,H$2&lt;=$D5, WEEKDAY(H$2)&lt;7,WEEKDAY(H$2)&gt;1,NOT(NOT(ISNA(VLOOKUP(H$2,Sheet2!$A$2:$A$7,0,FALSE)))))</xm:f>
            <x14:dxf>
              <fill>
                <patternFill>
                  <bgColor rgb="FFFF0000"/>
                </patternFill>
              </fill>
            </x14:dxf>
          </x14:cfRule>
          <x14:cfRule type="expression" priority="36" id="{3FB2C4D9-12FE-4476-929F-35487B5E390A}">
            <xm:f>AND(DAYS360($B$29,H$2)&lt;=0,$F5&lt;1,H$2&gt;=$C5,H$2&lt;=$D5, WEEKDAY(H$2)&lt;7,WEEKDAY(H$2)&gt;1,NOT(NOT(ISNA(VLOOKUP(H$2,Sheet2!$A$2:$A$7,0,FALSE)))))</xm:f>
            <x14:dxf>
              <fill>
                <patternFill>
                  <bgColor rgb="FFFFC000"/>
                </patternFill>
              </fill>
            </x14:dxf>
          </x14:cfRule>
          <x14:cfRule type="expression" priority="38" id="{152A33BF-ECB9-48B9-BA45-61DA5DD445FD}">
            <xm:f>OR(WEEKDAY(H$2)=7,WEEKDAY(H$2)=1+$I$5,NOT(ISNA(VLOOKUP(H$2,Sheet2!$A$2:$A$7,0,FALSE))))</xm:f>
            <x14:dxf>
              <fill>
                <patternFill patternType="gray125"/>
              </fill>
            </x14:dxf>
          </x14:cfRule>
          <x14:cfRule type="expression" priority="40" id="{A317FE8E-1FBE-421E-8FE6-2221E12887D1}">
            <xm:f>AND(H$2&gt;=$C5,H$2&lt;=$D5, WEEKDAY(H$2)&lt;7,WEEKDAY(H$2)&gt;1,NOT(NOT(ISNA(VLOOKUP(H$2,Sheet2!$A$2:$A$7,0,FALSE)))),$F5=1)</xm:f>
            <x14:dxf>
              <fill>
                <patternFill patternType="solid">
                  <fgColor auto="1"/>
                  <bgColor rgb="FF008000"/>
                </patternFill>
              </fill>
            </x14:dxf>
          </x14:cfRule>
          <x14:cfRule type="expression" priority="41" id="{E7526F51-80C2-4BC0-B4AF-9D3F0F00534E}">
            <xm:f>AND(H$2&gt;=$C5,H$2&lt;=$D5, WEEKDAY(H$2)&lt;7,WEEKDAY(H$2)&gt;1,NOT(NOT(ISNA(VLOOKUP(H$2,Sheet2!$A$2:$A$7,0,FALSE)))))</xm:f>
            <x14:dxf>
              <fill>
                <patternFill patternType="solid">
                  <fgColor auto="1"/>
                  <bgColor theme="4" tint="-0.499984740745262"/>
                </patternFill>
              </fill>
            </x14:dxf>
          </x14:cfRule>
          <xm:sqref>H5:AM27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/>
  <dimension ref="A1:B7"/>
  <sheetViews>
    <sheetView workbookViewId="0">
      <selection activeCell="A2" sqref="A2"/>
    </sheetView>
  </sheetViews>
  <sheetFormatPr baseColWidth="10" defaultColWidth="8.85546875" defaultRowHeight="15"/>
  <cols>
    <col min="1" max="1" width="16.7109375" customWidth="1"/>
    <col min="2" max="2" width="15.7109375" customWidth="1"/>
  </cols>
  <sheetData>
    <row r="1" spans="1:2">
      <c r="A1" t="s">
        <v>8</v>
      </c>
      <c r="B1" t="s">
        <v>9</v>
      </c>
    </row>
    <row r="2" spans="1:2">
      <c r="A2" s="1">
        <v>41050</v>
      </c>
      <c r="B2" t="s">
        <v>10</v>
      </c>
    </row>
    <row r="3" spans="1:2">
      <c r="A3" s="1">
        <v>41051</v>
      </c>
      <c r="B3" t="s">
        <v>10</v>
      </c>
    </row>
    <row r="4" spans="1:2">
      <c r="A4" s="1">
        <v>41052</v>
      </c>
      <c r="B4" t="s">
        <v>10</v>
      </c>
    </row>
    <row r="5" spans="1:2">
      <c r="A5" s="1">
        <v>41053</v>
      </c>
      <c r="B5" t="s">
        <v>10</v>
      </c>
    </row>
    <row r="6" spans="1:2">
      <c r="A6" s="1">
        <v>41054</v>
      </c>
      <c r="B6" t="s">
        <v>10</v>
      </c>
    </row>
    <row r="7" spans="1:2">
      <c r="A7" s="1">
        <v>41057</v>
      </c>
      <c r="B7" t="s">
        <v>11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enableFormatConditionsCalculation="0"/>
  <dimension ref="A1:J14"/>
  <sheetViews>
    <sheetView workbookViewId="0">
      <selection activeCell="F8" sqref="F8"/>
    </sheetView>
  </sheetViews>
  <sheetFormatPr baseColWidth="10" defaultColWidth="8.85546875" defaultRowHeight="15"/>
  <cols>
    <col min="1" max="1" width="1.42578125" customWidth="1"/>
    <col min="2" max="2" width="4.28515625" customWidth="1"/>
    <col min="3" max="3" width="1.140625" customWidth="1"/>
    <col min="4" max="4" width="22.85546875" customWidth="1"/>
    <col min="5" max="5" width="1.140625" customWidth="1"/>
    <col min="6" max="6" width="4.28515625" customWidth="1"/>
    <col min="7" max="7" width="1.85546875" customWidth="1"/>
  </cols>
  <sheetData>
    <row r="1" spans="1:10" ht="7.7" customHeight="1">
      <c r="A1" s="33"/>
      <c r="B1" s="33"/>
      <c r="C1" s="33"/>
      <c r="D1" s="33"/>
      <c r="E1" s="33"/>
      <c r="F1" s="33"/>
      <c r="G1" s="39"/>
      <c r="H1" s="39"/>
      <c r="I1" s="39"/>
    </row>
    <row r="2" spans="1:10" ht="15.75" thickBot="1">
      <c r="A2" s="33"/>
      <c r="B2" s="87" t="s">
        <v>12</v>
      </c>
      <c r="C2" s="87"/>
      <c r="D2" s="87"/>
      <c r="E2" s="55"/>
      <c r="F2" s="33"/>
      <c r="G2" s="39"/>
      <c r="H2" s="39"/>
      <c r="I2" s="39"/>
    </row>
    <row r="3" spans="1:10" ht="4.3499999999999996" customHeight="1">
      <c r="A3" s="33"/>
      <c r="B3" s="36"/>
      <c r="C3" s="36"/>
      <c r="D3" s="36"/>
      <c r="E3" s="55"/>
      <c r="F3" s="33"/>
      <c r="G3" s="39"/>
      <c r="H3" s="39"/>
      <c r="I3" s="39"/>
    </row>
    <row r="4" spans="1:10">
      <c r="A4" s="33"/>
      <c r="B4" s="31"/>
      <c r="C4" s="33"/>
      <c r="D4" s="33" t="s">
        <v>13</v>
      </c>
      <c r="E4" s="33"/>
      <c r="F4" s="61"/>
      <c r="G4" s="33"/>
      <c r="H4" s="33" t="s">
        <v>50</v>
      </c>
      <c r="I4" s="39"/>
    </row>
    <row r="5" spans="1:10" ht="5.45" customHeight="1">
      <c r="A5" s="33"/>
      <c r="B5" s="33"/>
      <c r="C5" s="33"/>
      <c r="D5" s="33"/>
      <c r="E5" s="33"/>
      <c r="F5" s="33"/>
      <c r="G5" s="33"/>
      <c r="H5" s="33"/>
      <c r="I5" s="39"/>
    </row>
    <row r="6" spans="1:10">
      <c r="A6" s="33"/>
      <c r="B6" s="32"/>
      <c r="C6" s="33"/>
      <c r="D6" s="33" t="s">
        <v>14</v>
      </c>
      <c r="E6" s="33"/>
      <c r="F6" s="59"/>
      <c r="G6" s="33"/>
      <c r="H6" s="33" t="s">
        <v>49</v>
      </c>
      <c r="I6" s="39"/>
    </row>
    <row r="7" spans="1:10" ht="4.7" customHeight="1">
      <c r="A7" s="33"/>
      <c r="B7" s="33"/>
      <c r="C7" s="33"/>
      <c r="D7" s="33"/>
      <c r="E7" s="33"/>
      <c r="F7" s="33"/>
      <c r="G7" s="33"/>
      <c r="H7" s="33"/>
      <c r="I7" s="39"/>
    </row>
    <row r="8" spans="1:10">
      <c r="A8" s="33"/>
      <c r="B8" s="34"/>
      <c r="C8" s="33"/>
      <c r="D8" s="33" t="s">
        <v>15</v>
      </c>
      <c r="E8" s="33"/>
      <c r="F8" s="34"/>
      <c r="G8" s="33"/>
      <c r="H8" s="33" t="s">
        <v>15</v>
      </c>
      <c r="I8" s="39"/>
    </row>
    <row r="9" spans="1:10" ht="4.3499999999999996" customHeight="1">
      <c r="A9" s="33"/>
      <c r="B9" s="33"/>
      <c r="C9" s="33"/>
      <c r="D9" s="33"/>
      <c r="E9" s="33"/>
      <c r="F9" s="33"/>
      <c r="G9" s="33"/>
      <c r="H9" s="33"/>
      <c r="I9" s="39"/>
    </row>
    <row r="10" spans="1:10">
      <c r="A10" s="33"/>
      <c r="B10" s="35"/>
      <c r="C10" s="33"/>
      <c r="D10" s="33" t="s">
        <v>16</v>
      </c>
      <c r="E10" s="33"/>
      <c r="F10" s="35"/>
      <c r="G10" s="33"/>
      <c r="H10" s="33" t="s">
        <v>16</v>
      </c>
      <c r="I10" s="39"/>
    </row>
    <row r="11" spans="1:10" ht="6.6" customHeight="1">
      <c r="A11" s="33"/>
      <c r="B11" s="33"/>
      <c r="C11" s="33"/>
      <c r="D11" s="33"/>
      <c r="E11" s="33"/>
      <c r="F11" s="33"/>
      <c r="G11" s="33"/>
      <c r="H11" s="33"/>
      <c r="I11" s="39"/>
    </row>
    <row r="12" spans="1:10">
      <c r="A12" s="33"/>
      <c r="B12" s="56"/>
      <c r="C12" s="39"/>
      <c r="D12" s="39" t="s">
        <v>17</v>
      </c>
      <c r="E12" s="39"/>
      <c r="F12" s="39"/>
      <c r="G12" s="39"/>
      <c r="H12" s="39"/>
      <c r="I12" s="39"/>
      <c r="J12" s="39"/>
    </row>
    <row r="13" spans="1:10" ht="3.6" customHeight="1">
      <c r="A13" s="39"/>
      <c r="B13" s="39"/>
      <c r="C13" s="39"/>
      <c r="D13" s="39"/>
      <c r="E13" s="39"/>
      <c r="F13" s="39"/>
      <c r="G13" s="39"/>
      <c r="H13" s="39"/>
      <c r="I13" s="39"/>
    </row>
    <row r="14" spans="1:10">
      <c r="A14" s="39"/>
      <c r="B14" s="39"/>
      <c r="C14" s="39"/>
      <c r="D14" s="39"/>
      <c r="E14" s="39"/>
      <c r="F14" s="39"/>
      <c r="G14" s="39"/>
      <c r="H14" s="39"/>
      <c r="I14" s="39"/>
    </row>
  </sheetData>
  <mergeCells count="1">
    <mergeCell ref="B2:D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 Progress as of 05092012</vt:lpstr>
      <vt:lpstr>Sheet2</vt:lpstr>
      <vt:lpstr>Sheet3</vt:lpstr>
      <vt:lpstr>'Plan Progress as of 05092012'!Área_de_impresión</vt:lpstr>
    </vt:vector>
  </TitlesOfParts>
  <Company>BMC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Lynn</dc:creator>
  <cp:lastModifiedBy>Victor_Bastias</cp:lastModifiedBy>
  <cp:lastPrinted>2012-05-12T18:28:47Z</cp:lastPrinted>
  <dcterms:created xsi:type="dcterms:W3CDTF">2012-05-10T15:20:38Z</dcterms:created>
  <dcterms:modified xsi:type="dcterms:W3CDTF">2014-05-08T13:24:40Z</dcterms:modified>
</cp:coreProperties>
</file>